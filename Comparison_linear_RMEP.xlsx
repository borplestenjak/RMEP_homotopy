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MEP\RMEP_homotopy\"/>
    </mc:Choice>
  </mc:AlternateContent>
  <xr:revisionPtr revIDLastSave="0" documentId="13_ncr:1_{A295134F-C410-434F-96A3-575AA51AC1E1}" xr6:coauthVersionLast="47" xr6:coauthVersionMax="47" xr10:uidLastSave="{00000000-0000-0000-0000-000000000000}"/>
  <bookViews>
    <workbookView xWindow="30600" yWindow="-1944" windowWidth="33312" windowHeight="14532" activeTab="2" xr2:uid="{A4011660-FB7A-4DB9-A678-D73B0BBE67FE}"/>
  </bookViews>
  <sheets>
    <sheet name="Times" sheetId="1" r:id="rId1"/>
    <sheet name="Legend" sheetId="3" r:id="rId2"/>
    <sheet name="All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9" i="2" l="1"/>
  <c r="U149" i="2"/>
  <c r="V106" i="2"/>
  <c r="U106" i="2"/>
  <c r="V71" i="2"/>
  <c r="U71" i="2"/>
  <c r="V117" i="2"/>
  <c r="U117" i="2"/>
  <c r="U115" i="2"/>
  <c r="V115" i="2"/>
  <c r="V25" i="2"/>
  <c r="V34" i="2"/>
  <c r="V64" i="2"/>
  <c r="V87" i="2"/>
  <c r="V160" i="2"/>
  <c r="V155" i="2"/>
  <c r="U160" i="2"/>
  <c r="U155" i="2"/>
  <c r="U87" i="2"/>
  <c r="U64" i="2"/>
  <c r="U34" i="2"/>
  <c r="U25" i="2"/>
</calcChain>
</file>

<file path=xl/sharedStrings.xml><?xml version="1.0" encoding="utf-8"?>
<sst xmlns="http://schemas.openxmlformats.org/spreadsheetml/2006/main" count="138" uniqueCount="66">
  <si>
    <t>n</t>
  </si>
  <si>
    <t>k=2</t>
  </si>
  <si>
    <t>k=3</t>
  </si>
  <si>
    <t>k=4</t>
  </si>
  <si>
    <t>k=5</t>
  </si>
  <si>
    <t>k=6</t>
  </si>
  <si>
    <t>k=7</t>
  </si>
  <si>
    <t>k=8</t>
  </si>
  <si>
    <t>Macaulay</t>
  </si>
  <si>
    <t>homotopy</t>
  </si>
  <si>
    <t>k=10</t>
  </si>
  <si>
    <t>k=15</t>
  </si>
  <si>
    <t>k=20</t>
  </si>
  <si>
    <t>MultiParEig</t>
  </si>
  <si>
    <t>solutions</t>
  </si>
  <si>
    <t>Comparison MultiParEig, MacaulayLab, homotopy for random linear RMEP</t>
  </si>
  <si>
    <t>k=30</t>
  </si>
  <si>
    <t>k=40</t>
  </si>
  <si>
    <t>k=50</t>
  </si>
  <si>
    <t>k=60</t>
  </si>
  <si>
    <t>k=100</t>
  </si>
  <si>
    <t>no gap</t>
  </si>
  <si>
    <t>out of memory</t>
  </si>
  <si>
    <t>k</t>
  </si>
  <si>
    <t>nHomo</t>
  </si>
  <si>
    <t>nMEP</t>
  </si>
  <si>
    <t>nMac</t>
  </si>
  <si>
    <t>nSol</t>
  </si>
  <si>
    <t>homo repeat %</t>
  </si>
  <si>
    <t>homo avg steps</t>
  </si>
  <si>
    <t>homo init time</t>
  </si>
  <si>
    <t>homo avg time</t>
  </si>
  <si>
    <t>homo maxres</t>
  </si>
  <si>
    <t>homo avgres</t>
  </si>
  <si>
    <t>mep  avg time</t>
  </si>
  <si>
    <t>mep maxres</t>
  </si>
  <si>
    <t>mep avgres</t>
  </si>
  <si>
    <t>mac avg time</t>
  </si>
  <si>
    <t>mac maxres</t>
  </si>
  <si>
    <t>mac avgres</t>
  </si>
  <si>
    <t>number of parameters</t>
  </si>
  <si>
    <t>number of columns</t>
  </si>
  <si>
    <t>number of random RMESp solved by homotopy</t>
  </si>
  <si>
    <t>number of random RMEPs  solved by MultiParEig</t>
  </si>
  <si>
    <t>number of random RMEPs solved by homotopy</t>
  </si>
  <si>
    <t xml:space="preserve">number of eigenvalues </t>
  </si>
  <si>
    <t>percentage of paths that have to be retraced</t>
  </si>
  <si>
    <t>average number of steps for one path</t>
  </si>
  <si>
    <t>maximal residual: norm(W(lambda)*x)/norm(W(lambda) for the homotopy</t>
  </si>
  <si>
    <t>average residual: norm(W(lambda)*x)/norm(W(lambda) for the homotopy</t>
  </si>
  <si>
    <t>time for the construction of the initial RMEP for the homotopy</t>
  </si>
  <si>
    <t>total time for the homotopy (including the constrruction of the initial RMEP)</t>
  </si>
  <si>
    <t>time for the multipareigg solver</t>
  </si>
  <si>
    <t>time for the MacaulayLab solver</t>
  </si>
  <si>
    <t>maximal residual: norm(W(lambda)*x)/norm(W(lambda) for MacaulayLab</t>
  </si>
  <si>
    <t>average residual: norm(W(lambda)*x)/norm(W(lambda) for MacaulayLab</t>
  </si>
  <si>
    <t>maximal residual: norm(W(lambda)*x)/norm(W(lambda) for MultiParEig</t>
  </si>
  <si>
    <t>average residual: norm(W(lambda)*x)/norm(W(lambda) for MultiParEig</t>
  </si>
  <si>
    <t>slowest of the three methods (bronze medal)</t>
  </si>
  <si>
    <t>fastest of the three methods (gold medal)</t>
  </si>
  <si>
    <t>silver medal for the timing</t>
  </si>
  <si>
    <t>k=9</t>
  </si>
  <si>
    <t>homo sequential</t>
  </si>
  <si>
    <t>speedup</t>
  </si>
  <si>
    <t>Homo seq init</t>
  </si>
  <si>
    <t>Out of 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</si>
</sst>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"/>
    <numFmt numFmtId="165" formatCode="0.000"/>
    <numFmt numFmtId="166" formatCode="_-* #,##0.000_-;\-* #,##0.000_-;_-* &quot;-&quot;??_-;_-@_-"/>
  </numFmts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charset val="238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</font>
    <font>
      <sz val="11"/>
      <color theme="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72">
    <xf numFmtId="0" fontId="0" fillId="0" borderId="0" xfId="0"/>
    <xf numFmtId="164" fontId="0" fillId="0" borderId="0" xfId="0" applyNumberFormat="1"/>
    <xf numFmtId="0" fontId="1" fillId="0" borderId="0" xfId="0" applyFont="1"/>
    <xf numFmtId="164" fontId="0" fillId="2" borderId="0" xfId="0" applyNumberFormat="1" applyFill="1"/>
    <xf numFmtId="164" fontId="0" fillId="6" borderId="0" xfId="0" applyNumberFormat="1" applyFill="1" applyAlignment="1">
      <alignment horizontal="center"/>
    </xf>
    <xf numFmtId="165" fontId="0" fillId="3" borderId="0" xfId="0" applyNumberFormat="1" applyFill="1"/>
    <xf numFmtId="165" fontId="0" fillId="2" borderId="0" xfId="0" applyNumberFormat="1" applyFill="1"/>
    <xf numFmtId="165" fontId="0" fillId="5" borderId="0" xfId="0" applyNumberFormat="1" applyFill="1"/>
    <xf numFmtId="165" fontId="0" fillId="3" borderId="0" xfId="0" quotePrefix="1" applyNumberFormat="1" applyFill="1"/>
    <xf numFmtId="165" fontId="0" fillId="0" borderId="0" xfId="0" applyNumberFormat="1"/>
    <xf numFmtId="165" fontId="0" fillId="4" borderId="0" xfId="0" applyNumberFormat="1" applyFill="1"/>
    <xf numFmtId="165" fontId="0" fillId="7" borderId="0" xfId="0" applyNumberFormat="1" applyFill="1"/>
    <xf numFmtId="0" fontId="3" fillId="0" borderId="0" xfId="1" applyFont="1"/>
    <xf numFmtId="10" fontId="3" fillId="0" borderId="0" xfId="2" applyNumberFormat="1" applyFont="1"/>
    <xf numFmtId="166" fontId="3" fillId="0" borderId="0" xfId="3" applyNumberFormat="1" applyFont="1"/>
    <xf numFmtId="11" fontId="3" fillId="0" borderId="0" xfId="3" applyNumberFormat="1" applyFont="1"/>
    <xf numFmtId="0" fontId="2" fillId="0" borderId="0" xfId="1"/>
    <xf numFmtId="10" fontId="0" fillId="0" borderId="0" xfId="2" applyNumberFormat="1" applyFont="1"/>
    <xf numFmtId="166" fontId="0" fillId="0" borderId="0" xfId="3" applyNumberFormat="1" applyFont="1"/>
    <xf numFmtId="11" fontId="2" fillId="0" borderId="0" xfId="1" applyNumberFormat="1"/>
    <xf numFmtId="0" fontId="3" fillId="7" borderId="0" xfId="1" applyFont="1" applyFill="1"/>
    <xf numFmtId="10" fontId="0" fillId="7" borderId="1" xfId="2" applyNumberFormat="1" applyFont="1" applyFill="1" applyBorder="1"/>
    <xf numFmtId="166" fontId="0" fillId="7" borderId="0" xfId="3" applyNumberFormat="1" applyFont="1" applyFill="1" applyBorder="1"/>
    <xf numFmtId="11" fontId="2" fillId="7" borderId="0" xfId="1" applyNumberFormat="1" applyFill="1"/>
    <xf numFmtId="11" fontId="2" fillId="8" borderId="0" xfId="1" applyNumberFormat="1" applyFill="1"/>
    <xf numFmtId="10" fontId="0" fillId="0" borderId="1" xfId="2" applyNumberFormat="1" applyFont="1" applyBorder="1"/>
    <xf numFmtId="166" fontId="0" fillId="0" borderId="0" xfId="3" applyNumberFormat="1" applyFont="1" applyBorder="1"/>
    <xf numFmtId="11" fontId="2" fillId="7" borderId="2" xfId="1" applyNumberFormat="1" applyFill="1" applyBorder="1"/>
    <xf numFmtId="11" fontId="2" fillId="8" borderId="2" xfId="1" applyNumberFormat="1" applyFill="1" applyBorder="1"/>
    <xf numFmtId="11" fontId="2" fillId="0" borderId="2" xfId="1" applyNumberFormat="1" applyBorder="1"/>
    <xf numFmtId="166" fontId="0" fillId="7" borderId="1" xfId="3" applyNumberFormat="1" applyFont="1" applyFill="1" applyBorder="1"/>
    <xf numFmtId="166" fontId="0" fillId="0" borderId="1" xfId="3" applyNumberFormat="1" applyFont="1" applyBorder="1"/>
    <xf numFmtId="166" fontId="0" fillId="8" borderId="1" xfId="3" applyNumberFormat="1" applyFont="1" applyFill="1" applyBorder="1"/>
    <xf numFmtId="0" fontId="2" fillId="7" borderId="1" xfId="1" applyFill="1" applyBorder="1"/>
    <xf numFmtId="0" fontId="2" fillId="7" borderId="0" xfId="1" applyFill="1"/>
    <xf numFmtId="0" fontId="2" fillId="7" borderId="2" xfId="1" applyFill="1" applyBorder="1"/>
    <xf numFmtId="0" fontId="2" fillId="0" borderId="1" xfId="1" applyBorder="1"/>
    <xf numFmtId="0" fontId="2" fillId="0" borderId="2" xfId="1" applyBorder="1"/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0" fontId="3" fillId="0" borderId="1" xfId="2" applyNumberFormat="1" applyFont="1" applyBorder="1" applyAlignment="1">
      <alignment horizontal="center"/>
    </xf>
    <xf numFmtId="166" fontId="3" fillId="0" borderId="0" xfId="3" applyNumberFormat="1" applyFont="1" applyBorder="1" applyAlignment="1">
      <alignment horizontal="center"/>
    </xf>
    <xf numFmtId="11" fontId="3" fillId="0" borderId="0" xfId="3" applyNumberFormat="1" applyFont="1" applyBorder="1" applyAlignment="1">
      <alignment horizontal="center"/>
    </xf>
    <xf numFmtId="11" fontId="3" fillId="0" borderId="2" xfId="3" applyNumberFormat="1" applyFont="1" applyBorder="1" applyAlignment="1">
      <alignment horizontal="center"/>
    </xf>
    <xf numFmtId="166" fontId="3" fillId="0" borderId="1" xfId="3" applyNumberFormat="1" applyFont="1" applyBorder="1" applyAlignment="1">
      <alignment horizontal="center"/>
    </xf>
    <xf numFmtId="165" fontId="0" fillId="9" borderId="0" xfId="0" applyNumberFormat="1" applyFill="1"/>
    <xf numFmtId="10" fontId="0" fillId="0" borderId="1" xfId="2" applyNumberFormat="1" applyFont="1" applyFill="1" applyBorder="1"/>
    <xf numFmtId="166" fontId="0" fillId="0" borderId="0" xfId="3" applyNumberFormat="1" applyFont="1" applyFill="1" applyBorder="1"/>
    <xf numFmtId="166" fontId="0" fillId="0" borderId="1" xfId="3" applyNumberFormat="1" applyFont="1" applyFill="1" applyBorder="1"/>
    <xf numFmtId="164" fontId="4" fillId="3" borderId="0" xfId="0" applyNumberFormat="1" applyFont="1" applyFill="1"/>
    <xf numFmtId="165" fontId="4" fillId="2" borderId="0" xfId="0" applyNumberFormat="1" applyFont="1" applyFill="1"/>
    <xf numFmtId="0" fontId="4" fillId="2" borderId="0" xfId="0" applyFont="1" applyFill="1"/>
    <xf numFmtId="10" fontId="5" fillId="0" borderId="1" xfId="2" applyNumberFormat="1" applyFont="1" applyFill="1" applyBorder="1"/>
    <xf numFmtId="166" fontId="5" fillId="0" borderId="0" xfId="3" applyNumberFormat="1" applyFont="1" applyFill="1" applyBorder="1"/>
    <xf numFmtId="11" fontId="6" fillId="0" borderId="0" xfId="1" applyNumberFormat="1" applyFont="1"/>
    <xf numFmtId="11" fontId="6" fillId="0" borderId="2" xfId="1" applyNumberFormat="1" applyFont="1" applyBorder="1"/>
    <xf numFmtId="10" fontId="5" fillId="0" borderId="1" xfId="2" applyNumberFormat="1" applyFont="1" applyBorder="1"/>
    <xf numFmtId="166" fontId="5" fillId="0" borderId="0" xfId="3" applyNumberFormat="1" applyFont="1" applyBorder="1"/>
    <xf numFmtId="10" fontId="5" fillId="7" borderId="1" xfId="2" applyNumberFormat="1" applyFont="1" applyFill="1" applyBorder="1"/>
    <xf numFmtId="166" fontId="5" fillId="7" borderId="0" xfId="3" applyNumberFormat="1" applyFont="1" applyFill="1" applyBorder="1"/>
    <xf numFmtId="11" fontId="6" fillId="7" borderId="0" xfId="1" applyNumberFormat="1" applyFont="1" applyFill="1"/>
    <xf numFmtId="11" fontId="6" fillId="7" borderId="2" xfId="1" applyNumberFormat="1" applyFont="1" applyFill="1" applyBorder="1"/>
    <xf numFmtId="165" fontId="0" fillId="10" borderId="0" xfId="0" applyNumberFormat="1" applyFill="1"/>
    <xf numFmtId="0" fontId="3" fillId="7" borderId="2" xfId="1" applyFont="1" applyFill="1" applyBorder="1"/>
    <xf numFmtId="0" fontId="3" fillId="0" borderId="2" xfId="1" applyFont="1" applyBorder="1"/>
    <xf numFmtId="43" fontId="3" fillId="0" borderId="0" xfId="4" applyFont="1"/>
    <xf numFmtId="43" fontId="2" fillId="0" borderId="0" xfId="4" applyFont="1"/>
    <xf numFmtId="166" fontId="3" fillId="0" borderId="0" xfId="4" applyNumberFormat="1" applyFont="1"/>
    <xf numFmtId="166" fontId="2" fillId="0" borderId="0" xfId="4" applyNumberFormat="1" applyFont="1"/>
    <xf numFmtId="166" fontId="2" fillId="2" borderId="0" xfId="4" applyNumberFormat="1" applyFont="1" applyFill="1"/>
    <xf numFmtId="165" fontId="0" fillId="11" borderId="0" xfId="0" applyNumberFormat="1" applyFill="1"/>
  </cellXfs>
  <cellStyles count="5">
    <cellStyle name="Comma" xfId="4" builtinId="3"/>
    <cellStyle name="Comma 2" xfId="3" xr:uid="{37814D57-3646-4219-A278-D0D57E9A6287}"/>
    <cellStyle name="Normal" xfId="0" builtinId="0"/>
    <cellStyle name="Normal 2" xfId="1" xr:uid="{A00CCC5E-6F95-42E5-B9FB-CD86513E728C}"/>
    <cellStyle name="Percent 2" xfId="2" xr:uid="{2A8DA038-C568-48C6-8F57-A3B9BB8E6D28}"/>
  </cellStyles>
  <dxfs count="0"/>
  <tableStyles count="0" defaultTableStyle="TableStyleMedium2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78D0-B3BB-4455-B056-646B4297C753}">
  <dimension ref="A1:BF67"/>
  <sheetViews>
    <sheetView topLeftCell="A3" zoomScale="99" zoomScaleNormal="99" workbookViewId="0">
      <pane xSplit="1" topLeftCell="L1" activePane="topRight" state="frozen"/>
      <selection activeCell="A4" sqref="A4"/>
      <selection pane="topRight" activeCell="Z23" sqref="Z23"/>
    </sheetView>
  </sheetViews>
  <sheetFormatPr defaultRowHeight="14.4" x14ac:dyDescent="0.3"/>
  <cols>
    <col min="2" max="2" width="10.44140625" bestFit="1" customWidth="1"/>
    <col min="3" max="3" width="11.77734375" bestFit="1" customWidth="1"/>
    <col min="4" max="5" width="14.88671875" customWidth="1"/>
    <col min="7" max="7" width="9.5546875" bestFit="1" customWidth="1"/>
    <col min="8" max="8" width="10.33203125" bestFit="1" customWidth="1"/>
    <col min="9" max="9" width="9.5546875" bestFit="1" customWidth="1"/>
    <col min="11" max="11" width="10.5546875" bestFit="1" customWidth="1"/>
    <col min="12" max="12" width="12.5546875" bestFit="1" customWidth="1"/>
    <col min="13" max="13" width="10.5546875" bestFit="1" customWidth="1"/>
    <col min="15" max="15" width="9.5546875" bestFit="1" customWidth="1"/>
    <col min="16" max="16" width="10.5546875" bestFit="1" customWidth="1"/>
    <col min="19" max="19" width="11.5546875" bestFit="1" customWidth="1"/>
    <col min="20" max="20" width="12.5546875" bestFit="1" customWidth="1"/>
    <col min="21" max="21" width="10.5546875" bestFit="1" customWidth="1"/>
    <col min="22" max="22" width="11.77734375" bestFit="1" customWidth="1"/>
    <col min="23" max="24" width="12.5546875" bestFit="1" customWidth="1"/>
    <col min="25" max="25" width="10.5546875" bestFit="1" customWidth="1"/>
    <col min="26" max="26" width="11.77734375" bestFit="1" customWidth="1"/>
    <col min="27" max="27" width="9.5546875" bestFit="1" customWidth="1"/>
    <col min="28" max="28" width="9.44140625" bestFit="1" customWidth="1"/>
    <col min="36" max="36" width="10.88671875" bestFit="1" customWidth="1"/>
    <col min="42" max="42" width="13.44140625" bestFit="1" customWidth="1"/>
  </cols>
  <sheetData>
    <row r="1" spans="1:58" x14ac:dyDescent="0.3">
      <c r="A1" s="2" t="s">
        <v>15</v>
      </c>
    </row>
    <row r="3" spans="1:58" s="2" customFormat="1" x14ac:dyDescent="0.3">
      <c r="A3" s="2" t="s">
        <v>0</v>
      </c>
      <c r="B3" s="2" t="s">
        <v>1</v>
      </c>
      <c r="F3" s="2" t="s">
        <v>2</v>
      </c>
      <c r="J3" s="2" t="s">
        <v>3</v>
      </c>
      <c r="N3" s="2" t="s">
        <v>4</v>
      </c>
      <c r="R3" s="2" t="s">
        <v>5</v>
      </c>
      <c r="V3" s="2" t="s">
        <v>6</v>
      </c>
      <c r="Z3" s="2" t="s">
        <v>7</v>
      </c>
      <c r="AD3" s="2" t="s">
        <v>61</v>
      </c>
      <c r="AH3" s="2" t="s">
        <v>10</v>
      </c>
      <c r="AL3" s="2" t="s">
        <v>11</v>
      </c>
      <c r="AO3" s="2" t="s">
        <v>12</v>
      </c>
      <c r="AR3" s="2" t="s">
        <v>16</v>
      </c>
      <c r="AU3" s="2" t="s">
        <v>17</v>
      </c>
      <c r="AX3" s="2" t="s">
        <v>18</v>
      </c>
      <c r="BA3" s="2" t="s">
        <v>19</v>
      </c>
      <c r="BD3" s="2" t="s">
        <v>20</v>
      </c>
    </row>
    <row r="4" spans="1:58" x14ac:dyDescent="0.3">
      <c r="B4" t="s">
        <v>14</v>
      </c>
      <c r="C4" t="s">
        <v>8</v>
      </c>
      <c r="D4" t="s">
        <v>13</v>
      </c>
      <c r="E4" t="s">
        <v>9</v>
      </c>
      <c r="F4" t="s">
        <v>14</v>
      </c>
      <c r="G4" t="s">
        <v>8</v>
      </c>
      <c r="H4" t="s">
        <v>13</v>
      </c>
      <c r="I4" t="s">
        <v>9</v>
      </c>
      <c r="J4" t="s">
        <v>14</v>
      </c>
      <c r="K4" t="s">
        <v>8</v>
      </c>
      <c r="L4" t="s">
        <v>13</v>
      </c>
      <c r="M4" t="s">
        <v>9</v>
      </c>
      <c r="N4" t="s">
        <v>14</v>
      </c>
      <c r="O4" t="s">
        <v>8</v>
      </c>
      <c r="P4" t="s">
        <v>13</v>
      </c>
      <c r="Q4" t="s">
        <v>9</v>
      </c>
      <c r="R4" t="s">
        <v>14</v>
      </c>
      <c r="S4" t="s">
        <v>8</v>
      </c>
      <c r="T4" t="s">
        <v>13</v>
      </c>
      <c r="U4" t="s">
        <v>9</v>
      </c>
      <c r="V4" t="s">
        <v>14</v>
      </c>
      <c r="W4" t="s">
        <v>8</v>
      </c>
      <c r="X4" t="s">
        <v>13</v>
      </c>
      <c r="Y4" t="s">
        <v>9</v>
      </c>
      <c r="Z4" t="s">
        <v>14</v>
      </c>
      <c r="AA4" t="s">
        <v>8</v>
      </c>
      <c r="AB4" t="s">
        <v>13</v>
      </c>
      <c r="AC4" t="s">
        <v>9</v>
      </c>
      <c r="AD4" t="s">
        <v>14</v>
      </c>
      <c r="AE4" t="s">
        <v>8</v>
      </c>
      <c r="AF4" t="s">
        <v>13</v>
      </c>
      <c r="AG4" t="s">
        <v>9</v>
      </c>
      <c r="AH4" t="s">
        <v>14</v>
      </c>
      <c r="AI4" t="s">
        <v>8</v>
      </c>
      <c r="AJ4" t="s">
        <v>13</v>
      </c>
      <c r="AK4" t="s">
        <v>9</v>
      </c>
      <c r="AL4" t="s">
        <v>14</v>
      </c>
      <c r="AM4" t="s">
        <v>8</v>
      </c>
      <c r="AN4" t="s">
        <v>9</v>
      </c>
      <c r="AO4" t="s">
        <v>14</v>
      </c>
      <c r="AP4" t="s">
        <v>8</v>
      </c>
      <c r="AQ4" t="s">
        <v>9</v>
      </c>
      <c r="AR4" t="s">
        <v>14</v>
      </c>
      <c r="AS4" t="s">
        <v>8</v>
      </c>
      <c r="AT4" t="s">
        <v>9</v>
      </c>
      <c r="AU4" t="s">
        <v>14</v>
      </c>
      <c r="AV4" t="s">
        <v>8</v>
      </c>
      <c r="AW4" t="s">
        <v>9</v>
      </c>
      <c r="AX4" t="s">
        <v>14</v>
      </c>
      <c r="AY4" t="s">
        <v>8</v>
      </c>
      <c r="AZ4" t="s">
        <v>9</v>
      </c>
      <c r="BA4" t="s">
        <v>14</v>
      </c>
      <c r="BB4" t="s">
        <v>8</v>
      </c>
      <c r="BC4" t="s">
        <v>9</v>
      </c>
      <c r="BD4" t="s">
        <v>14</v>
      </c>
      <c r="BE4" t="s">
        <v>8</v>
      </c>
      <c r="BF4" t="s">
        <v>9</v>
      </c>
    </row>
    <row r="5" spans="1:58" x14ac:dyDescent="0.3">
      <c r="A5" s="2">
        <v>2</v>
      </c>
      <c r="B5">
        <v>3</v>
      </c>
      <c r="C5" s="5">
        <v>4.8700000000000002E-3</v>
      </c>
      <c r="D5" s="6">
        <v>7.5000000000000002E-4</v>
      </c>
      <c r="E5" s="7">
        <v>1.985483E-2</v>
      </c>
      <c r="F5">
        <v>4</v>
      </c>
      <c r="G5" s="5">
        <v>6.1565600000000002E-3</v>
      </c>
      <c r="H5" s="6">
        <v>1.9401849999999999E-3</v>
      </c>
      <c r="I5" s="7">
        <v>2.5156580000000001E-2</v>
      </c>
      <c r="J5">
        <v>5</v>
      </c>
      <c r="K5" s="5">
        <v>8.1993900000000008E-3</v>
      </c>
      <c r="L5" s="6">
        <v>6.2774200000000014E-3</v>
      </c>
      <c r="M5" s="7">
        <v>3.4954354999999993E-2</v>
      </c>
      <c r="N5">
        <v>6</v>
      </c>
      <c r="O5" s="6">
        <v>9.4405199999999991E-3</v>
      </c>
      <c r="P5" s="5">
        <v>3.6216889999999995E-2</v>
      </c>
      <c r="Q5" s="7">
        <v>3.3204734999999999E-2</v>
      </c>
      <c r="R5">
        <v>7</v>
      </c>
      <c r="S5" s="6">
        <v>1.0894435000000001E-2</v>
      </c>
      <c r="T5" s="7">
        <v>0.26154030500000003</v>
      </c>
      <c r="U5" s="10">
        <v>4.5036955000000004E-2</v>
      </c>
      <c r="V5">
        <v>8</v>
      </c>
      <c r="W5" s="6">
        <v>1.3498384999999998E-2</v>
      </c>
      <c r="X5" s="7">
        <v>2.28116596</v>
      </c>
      <c r="Y5" s="5">
        <v>7.5730779999999998E-2</v>
      </c>
      <c r="Z5">
        <v>9</v>
      </c>
      <c r="AA5" s="6">
        <v>2.1855144999999999E-2</v>
      </c>
      <c r="AB5" s="7">
        <v>23.6435791</v>
      </c>
      <c r="AC5" s="5">
        <v>6.2447779999999987E-2</v>
      </c>
      <c r="AD5">
        <v>10</v>
      </c>
      <c r="AE5" s="6">
        <v>2.1355899999999997E-2</v>
      </c>
      <c r="AF5" s="7">
        <v>262.76</v>
      </c>
      <c r="AG5" s="5">
        <v>6.709292E-2</v>
      </c>
      <c r="AH5">
        <v>11</v>
      </c>
      <c r="AI5" s="6">
        <v>2.8817240000000001E-2</v>
      </c>
      <c r="AJ5" s="71" t="s">
        <v>65</v>
      </c>
      <c r="AK5" s="5">
        <v>7.6054860000000002E-2</v>
      </c>
      <c r="AL5">
        <v>16</v>
      </c>
      <c r="AM5" s="6">
        <v>7.4035059999999986E-2</v>
      </c>
      <c r="AN5" s="5">
        <v>0.15153119000000001</v>
      </c>
      <c r="AO5">
        <v>21</v>
      </c>
      <c r="AP5" s="6">
        <v>0.18962910499999996</v>
      </c>
      <c r="AQ5" s="5">
        <v>0.31227701999999996</v>
      </c>
      <c r="AR5">
        <v>31</v>
      </c>
      <c r="AS5" s="63">
        <v>1.2790287900000001</v>
      </c>
      <c r="AT5" s="6">
        <v>1.2597854550000001</v>
      </c>
      <c r="AU5">
        <v>41</v>
      </c>
      <c r="AV5" s="5">
        <v>6.3138266199999995</v>
      </c>
      <c r="AW5" s="6">
        <v>2.8433841800000001</v>
      </c>
      <c r="AX5">
        <v>51</v>
      </c>
      <c r="AY5" s="5">
        <v>21.992981719999996</v>
      </c>
      <c r="AZ5" s="6">
        <v>5.1876860799999998</v>
      </c>
      <c r="BA5">
        <v>61</v>
      </c>
      <c r="BB5" s="5">
        <v>64.626304340000004</v>
      </c>
      <c r="BC5" s="6">
        <v>8.5283140599999996</v>
      </c>
      <c r="BD5">
        <v>101</v>
      </c>
      <c r="BF5" s="6">
        <v>38.690378299999999</v>
      </c>
    </row>
    <row r="6" spans="1:58" x14ac:dyDescent="0.3">
      <c r="A6" s="2">
        <v>3</v>
      </c>
      <c r="B6">
        <v>6</v>
      </c>
      <c r="C6" s="5">
        <v>6.6463E-3</v>
      </c>
      <c r="D6" s="6">
        <v>1.0246000000000001E-3</v>
      </c>
      <c r="E6" s="7">
        <v>3.0805554999999998E-2</v>
      </c>
      <c r="F6">
        <v>10</v>
      </c>
      <c r="G6" s="5">
        <v>1.2476790000000003E-2</v>
      </c>
      <c r="H6" s="6">
        <v>3.6057249999999997E-3</v>
      </c>
      <c r="I6" s="7">
        <v>4.0466015000000008E-2</v>
      </c>
      <c r="J6">
        <v>15</v>
      </c>
      <c r="K6" s="6">
        <v>1.4923970000000003E-2</v>
      </c>
      <c r="L6" s="46">
        <v>1.560634E-2</v>
      </c>
      <c r="M6" s="7">
        <v>6.0674574999999994E-2</v>
      </c>
      <c r="N6">
        <v>21</v>
      </c>
      <c r="O6" s="6">
        <v>2.3206785000000001E-2</v>
      </c>
      <c r="P6" s="7">
        <v>0.12438753000000002</v>
      </c>
      <c r="Q6" s="5">
        <v>7.6251975E-2</v>
      </c>
      <c r="R6">
        <v>28</v>
      </c>
      <c r="S6" s="6">
        <v>3.0825830000000005E-2</v>
      </c>
      <c r="T6" s="7">
        <v>1.0297562250000001</v>
      </c>
      <c r="U6" s="10">
        <v>0.11473232000000003</v>
      </c>
      <c r="V6">
        <v>36</v>
      </c>
      <c r="W6" s="6">
        <v>4.3932070000000004E-2</v>
      </c>
      <c r="X6" s="7">
        <v>10.338131199999999</v>
      </c>
      <c r="Y6" s="5">
        <v>0.15315430000000002</v>
      </c>
      <c r="Z6">
        <v>55</v>
      </c>
      <c r="AA6" s="6">
        <v>7.3918565000000006E-2</v>
      </c>
      <c r="AB6" s="7">
        <v>118.63456050000001</v>
      </c>
      <c r="AC6" s="5">
        <v>0.20677629</v>
      </c>
      <c r="AD6">
        <v>55</v>
      </c>
      <c r="AE6" s="6">
        <v>0.11367843</v>
      </c>
      <c r="AF6" s="9"/>
      <c r="AG6" s="5">
        <v>0.26641277499999994</v>
      </c>
      <c r="AH6">
        <v>66</v>
      </c>
      <c r="AI6" s="6">
        <v>0.15541465500000001</v>
      </c>
      <c r="AJ6" s="9"/>
      <c r="AK6" s="5">
        <v>0.34924788499999998</v>
      </c>
      <c r="AL6">
        <v>136</v>
      </c>
      <c r="AM6" s="63">
        <v>1.9413491549999999</v>
      </c>
      <c r="AN6" s="6">
        <v>1.9267980650000003</v>
      </c>
      <c r="AO6">
        <v>231</v>
      </c>
      <c r="AP6" s="5">
        <v>13.794577720000001</v>
      </c>
      <c r="AQ6" s="6">
        <v>5.5634209600000002</v>
      </c>
    </row>
    <row r="7" spans="1:58" x14ac:dyDescent="0.3">
      <c r="A7" s="2">
        <v>4</v>
      </c>
      <c r="B7">
        <v>10</v>
      </c>
      <c r="C7" s="8">
        <v>1.2205980000000002E-2</v>
      </c>
      <c r="D7" s="6">
        <v>1.58939E-3</v>
      </c>
      <c r="E7" s="7">
        <v>4.3799095000000003E-2</v>
      </c>
      <c r="F7">
        <v>20</v>
      </c>
      <c r="G7" s="5">
        <v>1.6744370000000001E-2</v>
      </c>
      <c r="H7" s="6">
        <v>5.6873749999999997E-3</v>
      </c>
      <c r="I7" s="7">
        <v>6.4804409999999993E-2</v>
      </c>
      <c r="J7">
        <v>35</v>
      </c>
      <c r="K7" s="6">
        <v>3.0591785E-2</v>
      </c>
      <c r="L7" s="46">
        <v>3.6510745000000004E-2</v>
      </c>
      <c r="M7" s="7">
        <v>9.542328500000001E-2</v>
      </c>
      <c r="N7">
        <v>56</v>
      </c>
      <c r="O7" s="6">
        <v>5.9085774999999993E-2</v>
      </c>
      <c r="P7" s="7">
        <v>0.31682692000000007</v>
      </c>
      <c r="Q7" s="5">
        <v>0.14323133999999998</v>
      </c>
      <c r="R7">
        <v>84</v>
      </c>
      <c r="S7" s="6">
        <v>0.10668886500000001</v>
      </c>
      <c r="T7" s="7">
        <v>3.0857070799999997</v>
      </c>
      <c r="U7" s="10">
        <v>0.27964221500000008</v>
      </c>
      <c r="V7">
        <v>120</v>
      </c>
      <c r="W7" s="6">
        <v>0.26087609</v>
      </c>
      <c r="X7" s="7">
        <v>35.421332300000003</v>
      </c>
      <c r="Y7" s="5">
        <v>0.44925526999999993</v>
      </c>
      <c r="Z7">
        <v>165</v>
      </c>
      <c r="AA7" s="6">
        <v>0.57182594500000017</v>
      </c>
      <c r="AB7" s="7">
        <v>448.86</v>
      </c>
      <c r="AC7" s="5">
        <v>0.68351704000000002</v>
      </c>
      <c r="AD7">
        <v>220</v>
      </c>
      <c r="AE7" s="5">
        <v>1.8763886000000003</v>
      </c>
      <c r="AF7" s="9"/>
      <c r="AG7" s="6">
        <v>1.1054329600000004</v>
      </c>
      <c r="AH7">
        <v>286</v>
      </c>
      <c r="AI7" s="5">
        <v>5.3976198599999998</v>
      </c>
      <c r="AJ7" s="9"/>
      <c r="AK7" s="6">
        <v>1.73802514</v>
      </c>
      <c r="AL7">
        <v>816</v>
      </c>
      <c r="AM7" s="5">
        <v>169.7973776</v>
      </c>
      <c r="AN7" s="6">
        <v>10.755881666666667</v>
      </c>
      <c r="AO7">
        <v>1771</v>
      </c>
      <c r="AP7" s="4" t="s">
        <v>22</v>
      </c>
      <c r="AQ7" s="6">
        <v>45.140964266666664</v>
      </c>
    </row>
    <row r="8" spans="1:58" x14ac:dyDescent="0.3">
      <c r="A8" s="2">
        <v>5</v>
      </c>
      <c r="B8">
        <v>15</v>
      </c>
      <c r="C8" s="5">
        <v>1.86739E-2</v>
      </c>
      <c r="D8" s="6">
        <v>2.0284500000000002E-3</v>
      </c>
      <c r="E8" s="7">
        <v>5.2675250000000007E-2</v>
      </c>
      <c r="F8">
        <v>35</v>
      </c>
      <c r="G8" s="5">
        <v>3.1479565000000001E-2</v>
      </c>
      <c r="H8" s="6">
        <v>1.0133079999999999E-2</v>
      </c>
      <c r="I8" s="7">
        <v>8.5524635000000016E-2</v>
      </c>
      <c r="J8">
        <v>70</v>
      </c>
      <c r="K8" s="6">
        <v>6.8004855000000003E-2</v>
      </c>
      <c r="L8" s="46">
        <v>7.2288394999999991E-2</v>
      </c>
      <c r="M8" s="7">
        <v>0.17940265999999999</v>
      </c>
      <c r="N8">
        <v>126</v>
      </c>
      <c r="O8" s="6">
        <v>0.20403098000000003</v>
      </c>
      <c r="P8" s="7">
        <v>0.79143405000000011</v>
      </c>
      <c r="Q8" s="5">
        <v>0.26320189500000002</v>
      </c>
      <c r="R8">
        <v>210</v>
      </c>
      <c r="S8" s="6">
        <v>0.55461238000000002</v>
      </c>
      <c r="T8" s="7">
        <v>8.2807449000000002</v>
      </c>
      <c r="U8" s="10">
        <v>0.61794294500000002</v>
      </c>
      <c r="V8">
        <v>330</v>
      </c>
      <c r="W8" s="5">
        <v>3.35705404</v>
      </c>
      <c r="X8" s="7">
        <v>104.9884751</v>
      </c>
      <c r="Y8" s="6">
        <v>1.28136454</v>
      </c>
      <c r="Z8">
        <v>495</v>
      </c>
      <c r="AA8" s="5">
        <v>16.605177619999999</v>
      </c>
      <c r="AB8" s="7">
        <v>1452.2390227000001</v>
      </c>
      <c r="AC8" s="6">
        <v>2.2601355399999998</v>
      </c>
      <c r="AD8">
        <v>715</v>
      </c>
      <c r="AE8" s="5">
        <v>32.783000000000001</v>
      </c>
      <c r="AF8" s="9"/>
      <c r="AG8" s="6">
        <v>4.0314480000000001</v>
      </c>
      <c r="AH8">
        <v>1001</v>
      </c>
      <c r="AI8" s="5">
        <v>109.4554016</v>
      </c>
      <c r="AJ8" s="9"/>
      <c r="AK8" s="6">
        <v>6.7989622000000001</v>
      </c>
      <c r="AL8">
        <v>3876</v>
      </c>
      <c r="AN8" s="6">
        <v>61.956499999999998</v>
      </c>
    </row>
    <row r="9" spans="1:58" x14ac:dyDescent="0.3">
      <c r="A9" s="2">
        <v>6</v>
      </c>
      <c r="B9">
        <v>21</v>
      </c>
      <c r="C9" s="5">
        <v>2.3185339999999999E-2</v>
      </c>
      <c r="D9" s="6">
        <v>2.9149549999999995E-3</v>
      </c>
      <c r="E9" s="7">
        <v>6.2096049999999979E-2</v>
      </c>
      <c r="F9">
        <v>56</v>
      </c>
      <c r="G9" s="5">
        <v>4.8456570000000004E-2</v>
      </c>
      <c r="H9" s="6">
        <v>1.5546505000000002E-2</v>
      </c>
      <c r="I9" s="7">
        <v>0.11641928500000001</v>
      </c>
      <c r="J9">
        <v>126</v>
      </c>
      <c r="K9" s="5">
        <v>0.16412260999999997</v>
      </c>
      <c r="L9" s="6">
        <v>0.13498407000000001</v>
      </c>
      <c r="M9" s="7">
        <v>0.29394207500000002</v>
      </c>
      <c r="N9">
        <v>252</v>
      </c>
      <c r="O9" s="5">
        <v>0.77225319000000003</v>
      </c>
      <c r="P9" s="7">
        <v>1.5915183100000001</v>
      </c>
      <c r="Q9" s="6">
        <v>0.56998807499999993</v>
      </c>
      <c r="R9">
        <v>462</v>
      </c>
      <c r="S9" s="5">
        <v>6.068062320000001</v>
      </c>
      <c r="T9" s="7">
        <v>19.46116374</v>
      </c>
      <c r="U9" s="6">
        <v>1.2429469200000001</v>
      </c>
      <c r="V9">
        <v>792</v>
      </c>
      <c r="W9" s="5">
        <v>28.1524018</v>
      </c>
      <c r="X9" s="7">
        <v>305.77434690000001</v>
      </c>
      <c r="Y9" s="6">
        <v>3.1694037799999997</v>
      </c>
      <c r="Z9">
        <v>1287</v>
      </c>
      <c r="AA9" s="5">
        <v>137.469391</v>
      </c>
      <c r="AB9" s="7">
        <v>4870.7439999999997</v>
      </c>
      <c r="AC9" s="6">
        <v>6.4819743799999996</v>
      </c>
      <c r="AD9">
        <v>2002</v>
      </c>
      <c r="AE9" s="5">
        <v>658.49058000000002</v>
      </c>
      <c r="AF9" s="9"/>
      <c r="AG9" s="6">
        <v>12.6557928</v>
      </c>
      <c r="AH9">
        <v>3003</v>
      </c>
      <c r="AI9" s="5">
        <v>2574.1812619000002</v>
      </c>
      <c r="AJ9" s="9"/>
      <c r="AK9" s="6">
        <v>22.921736533333334</v>
      </c>
    </row>
    <row r="10" spans="1:58" x14ac:dyDescent="0.3">
      <c r="A10" s="2">
        <v>7</v>
      </c>
      <c r="B10">
        <v>28</v>
      </c>
      <c r="C10" s="5">
        <v>2.5080780000000004E-2</v>
      </c>
      <c r="D10" s="6">
        <v>2.8811699999999997E-3</v>
      </c>
      <c r="E10" s="7">
        <v>8.2486694999999999E-2</v>
      </c>
      <c r="F10">
        <v>84</v>
      </c>
      <c r="G10" s="5">
        <v>8.4860699999999983E-2</v>
      </c>
      <c r="H10" s="6">
        <v>2.3653085000000001E-2</v>
      </c>
      <c r="I10" s="7">
        <v>0.18086283000000003</v>
      </c>
      <c r="J10">
        <v>210</v>
      </c>
      <c r="K10" s="5">
        <v>0.42531325999999997</v>
      </c>
      <c r="L10" s="6">
        <v>0.243723775</v>
      </c>
      <c r="M10" s="7">
        <v>0.46586473500000009</v>
      </c>
      <c r="N10">
        <v>462</v>
      </c>
      <c r="O10" s="7">
        <v>4.0165779400000003</v>
      </c>
      <c r="P10" s="5">
        <v>2.8065348999999999</v>
      </c>
      <c r="Q10" s="6">
        <v>0.97101222000000009</v>
      </c>
      <c r="R10">
        <v>924</v>
      </c>
      <c r="S10" s="5">
        <v>31.599334339999995</v>
      </c>
      <c r="T10" s="7">
        <v>43.666878280000006</v>
      </c>
      <c r="U10" s="6">
        <v>2.6888829599999999</v>
      </c>
      <c r="V10">
        <v>1716</v>
      </c>
      <c r="W10" s="5">
        <v>232.82317069999999</v>
      </c>
      <c r="X10" s="7">
        <v>860.35919660000002</v>
      </c>
      <c r="Y10" s="6">
        <v>7.5992268666666662</v>
      </c>
      <c r="Z10">
        <v>3003</v>
      </c>
      <c r="AA10" s="5">
        <v>1508.3916630000001</v>
      </c>
      <c r="AC10" s="6">
        <v>16.457347866666666</v>
      </c>
      <c r="AD10">
        <v>5005</v>
      </c>
      <c r="AH10">
        <v>8008</v>
      </c>
      <c r="AK10" s="6">
        <v>67.346488899999997</v>
      </c>
    </row>
    <row r="11" spans="1:58" x14ac:dyDescent="0.3">
      <c r="A11" s="2">
        <v>8</v>
      </c>
      <c r="B11">
        <v>36</v>
      </c>
      <c r="C11" s="5">
        <v>3.1645759999999995E-2</v>
      </c>
      <c r="D11" s="6">
        <v>4.3376150000000013E-3</v>
      </c>
      <c r="E11" s="7">
        <v>0.10883477000000004</v>
      </c>
      <c r="F11">
        <v>120</v>
      </c>
      <c r="G11" s="5">
        <v>0.14180321499999998</v>
      </c>
      <c r="H11" s="6">
        <v>3.4414294999999998E-2</v>
      </c>
      <c r="I11" s="7">
        <v>0.24312836999999998</v>
      </c>
      <c r="J11">
        <v>330</v>
      </c>
      <c r="K11" s="7">
        <v>1.175780225</v>
      </c>
      <c r="L11" s="6">
        <v>0.42528166999999995</v>
      </c>
      <c r="M11" s="5">
        <v>0.70006993500000014</v>
      </c>
      <c r="N11">
        <v>792</v>
      </c>
      <c r="O11" s="7">
        <v>23.58794632</v>
      </c>
      <c r="P11" s="5">
        <v>5.9555392600000001</v>
      </c>
      <c r="Q11" s="6">
        <v>1.7259364399999999</v>
      </c>
      <c r="R11">
        <v>1716</v>
      </c>
      <c r="S11" s="7">
        <v>169.776274</v>
      </c>
      <c r="T11" s="5">
        <v>118.44355419999999</v>
      </c>
      <c r="U11" s="6">
        <v>5.3917490800000003</v>
      </c>
      <c r="V11">
        <v>3432</v>
      </c>
      <c r="W11" s="5">
        <v>1685.567</v>
      </c>
      <c r="X11" s="11">
        <v>3018</v>
      </c>
      <c r="Y11" s="6">
        <v>16.7404893</v>
      </c>
      <c r="Z11">
        <v>6435</v>
      </c>
      <c r="AC11" s="6">
        <v>39.216944900000001</v>
      </c>
      <c r="AH11">
        <v>19448</v>
      </c>
      <c r="AK11" s="6">
        <v>184.7420821</v>
      </c>
    </row>
    <row r="12" spans="1:58" x14ac:dyDescent="0.3">
      <c r="A12" s="2">
        <v>9</v>
      </c>
      <c r="B12">
        <v>45</v>
      </c>
      <c r="C12" s="5">
        <v>4.3655619999999992E-2</v>
      </c>
      <c r="D12" s="6">
        <v>4.9303649999999999E-3</v>
      </c>
      <c r="E12" s="7">
        <v>0.130007495</v>
      </c>
      <c r="F12">
        <v>165</v>
      </c>
      <c r="G12" s="5">
        <v>0.24432508999999997</v>
      </c>
      <c r="H12" s="6">
        <v>5.074608500000001E-2</v>
      </c>
      <c r="I12" s="7">
        <v>0.35455610500000001</v>
      </c>
      <c r="J12">
        <v>495</v>
      </c>
      <c r="K12" s="7">
        <v>3.4815425800000002</v>
      </c>
      <c r="L12" s="6">
        <v>0.63481323999999995</v>
      </c>
      <c r="M12" s="5">
        <v>1.1385132600000001</v>
      </c>
      <c r="N12">
        <v>1287</v>
      </c>
      <c r="O12" s="7">
        <v>59.004164560000007</v>
      </c>
      <c r="P12" s="5">
        <v>10.79656404</v>
      </c>
      <c r="Q12" s="6">
        <v>3.1348834800000001</v>
      </c>
      <c r="R12">
        <v>3003</v>
      </c>
      <c r="S12" s="7">
        <v>863.77729079999995</v>
      </c>
      <c r="T12" s="5">
        <v>302.59518709999998</v>
      </c>
      <c r="U12" s="6">
        <v>11.015139166666666</v>
      </c>
      <c r="V12">
        <v>6435</v>
      </c>
      <c r="Y12" s="6">
        <v>34.003315099999995</v>
      </c>
    </row>
    <row r="13" spans="1:58" x14ac:dyDescent="0.3">
      <c r="A13" s="2">
        <v>10</v>
      </c>
      <c r="B13">
        <v>55</v>
      </c>
      <c r="C13" s="5">
        <v>5.1775919999999996E-2</v>
      </c>
      <c r="D13" s="6">
        <v>6.4831199999999993E-3</v>
      </c>
      <c r="E13" s="7">
        <v>0.14224112000000003</v>
      </c>
      <c r="F13">
        <v>220</v>
      </c>
      <c r="G13" s="5">
        <v>0.43043426000000001</v>
      </c>
      <c r="H13" s="6">
        <v>7.2403085000000006E-2</v>
      </c>
      <c r="I13" s="7">
        <v>0.50099266499999984</v>
      </c>
      <c r="J13">
        <v>715</v>
      </c>
      <c r="K13" s="7">
        <v>12.39100176</v>
      </c>
      <c r="L13" s="6">
        <v>1.0409039400000002</v>
      </c>
      <c r="M13" s="5">
        <v>1.69885522</v>
      </c>
      <c r="N13">
        <v>2002</v>
      </c>
      <c r="O13" s="7">
        <v>210.4465831</v>
      </c>
      <c r="P13" s="5">
        <v>20.229128060000001</v>
      </c>
      <c r="Q13" s="6">
        <v>5.3174288199999999</v>
      </c>
      <c r="R13">
        <v>5005</v>
      </c>
      <c r="S13" s="9"/>
      <c r="T13" s="5">
        <v>742.08734189999996</v>
      </c>
      <c r="U13" s="6">
        <v>21.323356200000003</v>
      </c>
      <c r="V13">
        <v>11440</v>
      </c>
      <c r="Y13" s="6">
        <v>65.172876599999995</v>
      </c>
      <c r="AH13">
        <v>92378</v>
      </c>
      <c r="AK13" s="52">
        <v>1116.2019324999999</v>
      </c>
    </row>
    <row r="14" spans="1:58" x14ac:dyDescent="0.3">
      <c r="A14" s="2">
        <v>11</v>
      </c>
      <c r="B14">
        <v>66</v>
      </c>
      <c r="C14" s="5">
        <v>5.9494120000000005E-2</v>
      </c>
      <c r="D14" s="6">
        <v>7.9231799999999984E-3</v>
      </c>
      <c r="E14" s="7">
        <v>0.15834911500000001</v>
      </c>
      <c r="F14">
        <v>286</v>
      </c>
      <c r="G14" s="5">
        <v>0.74409097999999996</v>
      </c>
      <c r="H14" s="6">
        <v>0.10487514000000001</v>
      </c>
      <c r="I14" s="7">
        <v>0.64965617999999992</v>
      </c>
      <c r="J14">
        <v>1001</v>
      </c>
      <c r="K14" s="7">
        <v>28.271071679999999</v>
      </c>
      <c r="L14" s="6">
        <v>1.6349814599999999</v>
      </c>
      <c r="M14" s="5">
        <v>2.3266192000000006</v>
      </c>
      <c r="N14">
        <v>3003</v>
      </c>
      <c r="O14" s="7">
        <v>682.25149260000001</v>
      </c>
      <c r="P14" s="5">
        <v>66.047500400000004</v>
      </c>
      <c r="Q14" s="6">
        <v>9.0094639000000001</v>
      </c>
      <c r="R14">
        <v>8008</v>
      </c>
      <c r="S14" s="9"/>
      <c r="T14" s="5">
        <v>2312.4965281999998</v>
      </c>
      <c r="U14" s="6">
        <v>40.379703499999998</v>
      </c>
      <c r="V14">
        <v>19448</v>
      </c>
      <c r="Y14" s="6">
        <v>121.9182672</v>
      </c>
    </row>
    <row r="15" spans="1:58" x14ac:dyDescent="0.3">
      <c r="A15" s="2">
        <v>12</v>
      </c>
      <c r="B15">
        <v>78</v>
      </c>
      <c r="C15" s="5">
        <v>8.0031839999999993E-2</v>
      </c>
      <c r="D15" s="6">
        <v>9.9332399999999994E-3</v>
      </c>
      <c r="E15" s="7">
        <v>0.19490289500000002</v>
      </c>
      <c r="F15">
        <v>364</v>
      </c>
      <c r="G15" s="7">
        <v>1.3347532</v>
      </c>
      <c r="H15" s="6">
        <v>0.14052732000000001</v>
      </c>
      <c r="I15" s="5">
        <v>0.85651955999999996</v>
      </c>
      <c r="J15">
        <v>1365</v>
      </c>
      <c r="K15" s="7">
        <v>64.684485639999991</v>
      </c>
      <c r="L15" s="6">
        <v>2.9392954199999997</v>
      </c>
      <c r="M15" s="5">
        <v>3.5770991199999997</v>
      </c>
      <c r="N15">
        <v>4368</v>
      </c>
      <c r="O15" s="7">
        <v>2113.2600000000002</v>
      </c>
      <c r="P15" s="5">
        <v>119.5974179</v>
      </c>
      <c r="Q15" s="6">
        <v>14.310228033333333</v>
      </c>
      <c r="V15">
        <v>31824</v>
      </c>
      <c r="Y15" s="6">
        <v>216.4531848</v>
      </c>
    </row>
    <row r="16" spans="1:58" x14ac:dyDescent="0.3">
      <c r="A16" s="2">
        <v>13</v>
      </c>
      <c r="B16">
        <v>91</v>
      </c>
      <c r="C16" s="5">
        <v>0.10024141999999998</v>
      </c>
      <c r="D16" s="6">
        <v>1.151434E-2</v>
      </c>
      <c r="E16" s="7">
        <v>0.23170724500000003</v>
      </c>
      <c r="F16">
        <v>455</v>
      </c>
      <c r="G16" s="7">
        <v>2.5097099799999998</v>
      </c>
      <c r="H16" s="6">
        <v>0.20229919999999998</v>
      </c>
      <c r="I16" s="5">
        <v>1.1217998200000001</v>
      </c>
      <c r="J16">
        <v>1820</v>
      </c>
      <c r="K16" s="7">
        <v>140.61991420000001</v>
      </c>
      <c r="L16" s="6">
        <v>4.7792429199999997</v>
      </c>
      <c r="M16" s="5">
        <v>5.3300209399999998</v>
      </c>
      <c r="N16">
        <v>6188</v>
      </c>
      <c r="P16" s="5">
        <v>267.15335240000002</v>
      </c>
      <c r="Q16" s="6">
        <v>21.312664000000002</v>
      </c>
    </row>
    <row r="17" spans="1:17" x14ac:dyDescent="0.3">
      <c r="A17" s="2">
        <v>14</v>
      </c>
      <c r="B17">
        <v>105</v>
      </c>
      <c r="C17" s="5">
        <v>0.13704146</v>
      </c>
      <c r="D17" s="6">
        <v>1.62122E-2</v>
      </c>
      <c r="E17" s="7">
        <v>0.27117799999999997</v>
      </c>
      <c r="F17">
        <v>560</v>
      </c>
      <c r="G17" s="7">
        <v>4.7890324800000004</v>
      </c>
      <c r="H17" s="6">
        <v>0.30381140000000001</v>
      </c>
      <c r="I17" s="5">
        <v>1.4490373999999999</v>
      </c>
      <c r="J17">
        <v>2380</v>
      </c>
      <c r="K17" s="7">
        <v>313.41755699999999</v>
      </c>
      <c r="L17" s="5">
        <v>8.3362589800000002</v>
      </c>
      <c r="M17" s="6">
        <v>7.400859333333333</v>
      </c>
      <c r="N17">
        <v>8568</v>
      </c>
      <c r="P17" s="5">
        <v>537.66359539999996</v>
      </c>
      <c r="Q17" s="6">
        <v>32.910109399999996</v>
      </c>
    </row>
    <row r="18" spans="1:17" x14ac:dyDescent="0.3">
      <c r="A18" s="2">
        <v>15</v>
      </c>
      <c r="B18">
        <v>120</v>
      </c>
      <c r="C18" s="5">
        <v>0.18245011999999999</v>
      </c>
      <c r="D18" s="6">
        <v>1.9705760000000003E-2</v>
      </c>
      <c r="E18" s="7">
        <v>0.32632619000000007</v>
      </c>
      <c r="F18">
        <v>680</v>
      </c>
      <c r="G18" s="7">
        <v>9.3907163000000011</v>
      </c>
      <c r="H18" s="6">
        <v>0.39482010000000001</v>
      </c>
      <c r="I18" s="5">
        <v>1.8809741200000001</v>
      </c>
      <c r="J18">
        <v>3060</v>
      </c>
      <c r="K18" s="7">
        <v>636.95748519999995</v>
      </c>
      <c r="L18" s="5">
        <v>14.44136638</v>
      </c>
      <c r="M18" s="6">
        <v>11.133719133333335</v>
      </c>
      <c r="N18">
        <v>11628</v>
      </c>
      <c r="P18" s="5">
        <v>1097.6545295999999</v>
      </c>
      <c r="Q18" s="6">
        <v>54.297702599999994</v>
      </c>
    </row>
    <row r="19" spans="1:17" x14ac:dyDescent="0.3">
      <c r="A19" s="2">
        <v>16</v>
      </c>
      <c r="B19">
        <v>136</v>
      </c>
      <c r="C19" s="5">
        <v>0.23509158000000002</v>
      </c>
      <c r="D19" s="6">
        <v>2.3229080000000003E-2</v>
      </c>
      <c r="E19" s="7">
        <v>0.41870578999999991</v>
      </c>
      <c r="F19">
        <v>816</v>
      </c>
      <c r="G19" s="7">
        <v>17.428628279999998</v>
      </c>
      <c r="H19" s="6">
        <v>0.54198486000000001</v>
      </c>
      <c r="I19" s="5">
        <v>2.6914631600000001</v>
      </c>
      <c r="J19">
        <v>3876</v>
      </c>
      <c r="L19" s="5">
        <v>25.02096762</v>
      </c>
      <c r="M19" s="6">
        <v>15.777931366666666</v>
      </c>
      <c r="N19">
        <v>15504</v>
      </c>
      <c r="P19" s="5">
        <v>2305.13</v>
      </c>
      <c r="Q19" s="6">
        <v>80.945590799999991</v>
      </c>
    </row>
    <row r="20" spans="1:17" x14ac:dyDescent="0.3">
      <c r="A20" s="2">
        <v>17</v>
      </c>
      <c r="B20">
        <v>153</v>
      </c>
      <c r="C20" s="5">
        <v>0.28696730000000004</v>
      </c>
      <c r="D20" s="6">
        <v>2.5294240000000003E-2</v>
      </c>
      <c r="E20" s="7">
        <v>0.4737934949999999</v>
      </c>
      <c r="F20">
        <v>969</v>
      </c>
      <c r="G20" s="7">
        <v>29.616865960000002</v>
      </c>
      <c r="H20" s="6">
        <v>0.70671596000000003</v>
      </c>
      <c r="I20" s="5">
        <v>3.3767622600000005</v>
      </c>
      <c r="J20">
        <v>4845</v>
      </c>
      <c r="L20" s="5">
        <v>47.062229133333325</v>
      </c>
      <c r="M20" s="6">
        <v>20.979158766666668</v>
      </c>
      <c r="N20">
        <v>20349</v>
      </c>
      <c r="Q20" s="6">
        <v>117.491991</v>
      </c>
    </row>
    <row r="21" spans="1:17" x14ac:dyDescent="0.3">
      <c r="A21" s="2">
        <v>18</v>
      </c>
      <c r="B21">
        <v>171</v>
      </c>
      <c r="C21" s="5">
        <v>0.3514177</v>
      </c>
      <c r="D21" s="6">
        <v>3.1552719999999999E-2</v>
      </c>
      <c r="E21" s="7">
        <v>0.52304658500000012</v>
      </c>
      <c r="F21">
        <v>1140</v>
      </c>
      <c r="G21" s="7">
        <v>52.638681640000001</v>
      </c>
      <c r="H21" s="6">
        <v>0.92488938000000009</v>
      </c>
      <c r="I21" s="5">
        <v>4.3980127800000002</v>
      </c>
      <c r="J21">
        <v>5985</v>
      </c>
      <c r="L21" s="5">
        <v>82.009343533333336</v>
      </c>
      <c r="M21" s="6">
        <v>28.033140100000001</v>
      </c>
    </row>
    <row r="22" spans="1:17" x14ac:dyDescent="0.3">
      <c r="A22" s="2">
        <v>19</v>
      </c>
      <c r="B22">
        <v>190</v>
      </c>
      <c r="C22" s="5">
        <v>0.44063508000000001</v>
      </c>
      <c r="D22" s="6">
        <v>3.531658E-2</v>
      </c>
      <c r="E22" s="7">
        <v>0.58412838499999997</v>
      </c>
      <c r="F22">
        <v>1330</v>
      </c>
      <c r="G22" s="7">
        <v>86.423193600000019</v>
      </c>
      <c r="H22" s="6">
        <v>1.2547853400000002</v>
      </c>
      <c r="I22" s="5">
        <v>5.2699050600000001</v>
      </c>
      <c r="J22">
        <v>7315</v>
      </c>
      <c r="L22" s="5">
        <v>143.72249239999999</v>
      </c>
      <c r="M22" s="6">
        <v>36.964761099999997</v>
      </c>
    </row>
    <row r="23" spans="1:17" x14ac:dyDescent="0.3">
      <c r="A23" s="2">
        <v>20</v>
      </c>
      <c r="B23">
        <v>210</v>
      </c>
      <c r="C23" s="5">
        <v>0.54500000000000004</v>
      </c>
      <c r="D23" s="6">
        <v>4.0417000000000002E-2</v>
      </c>
      <c r="E23" s="7">
        <v>0.69107876499999998</v>
      </c>
      <c r="F23">
        <v>1540</v>
      </c>
      <c r="G23" s="7">
        <v>111.10946747999999</v>
      </c>
      <c r="H23" s="6">
        <v>1.6707743799999999</v>
      </c>
      <c r="I23" s="5">
        <v>6.5965324399999998</v>
      </c>
      <c r="J23">
        <v>8855</v>
      </c>
      <c r="L23" s="5">
        <v>284.22466589999999</v>
      </c>
      <c r="M23" s="6">
        <v>47.428557900000001</v>
      </c>
    </row>
    <row r="24" spans="1:17" x14ac:dyDescent="0.3">
      <c r="A24" s="2">
        <v>21</v>
      </c>
      <c r="B24">
        <v>231</v>
      </c>
      <c r="C24" s="5">
        <v>0.71308311999999996</v>
      </c>
      <c r="D24" s="6">
        <v>5.5109740000000004E-2</v>
      </c>
      <c r="E24" s="7">
        <v>0.79010034500000004</v>
      </c>
      <c r="F24">
        <v>1771</v>
      </c>
      <c r="G24" s="7"/>
      <c r="H24" s="6"/>
      <c r="I24" s="5">
        <v>8.1195292333333331</v>
      </c>
      <c r="L24" s="5"/>
      <c r="M24" s="6"/>
    </row>
    <row r="25" spans="1:17" x14ac:dyDescent="0.3">
      <c r="A25" s="2">
        <v>22</v>
      </c>
      <c r="B25">
        <v>253</v>
      </c>
      <c r="C25" s="7">
        <v>0.89569849999999995</v>
      </c>
      <c r="D25" s="6">
        <v>5.9378299999999995E-2</v>
      </c>
      <c r="E25" s="5">
        <v>0.9149621950000002</v>
      </c>
      <c r="F25">
        <v>2024</v>
      </c>
      <c r="G25" s="7"/>
      <c r="H25" s="6"/>
      <c r="I25" s="5">
        <v>9.989284266666667</v>
      </c>
      <c r="L25" s="5"/>
      <c r="M25" s="6"/>
    </row>
    <row r="26" spans="1:17" x14ac:dyDescent="0.3">
      <c r="A26" s="2">
        <v>23</v>
      </c>
      <c r="B26">
        <v>276</v>
      </c>
      <c r="C26" s="7">
        <v>1.08964112</v>
      </c>
      <c r="D26" s="6">
        <v>6.9736980000000018E-2</v>
      </c>
      <c r="E26" s="5">
        <v>1.0752771999999997</v>
      </c>
      <c r="F26">
        <v>2300</v>
      </c>
      <c r="G26" s="7"/>
      <c r="H26" s="6"/>
      <c r="I26" s="5">
        <v>12.581238600000001</v>
      </c>
      <c r="L26" s="5"/>
      <c r="M26" s="6"/>
    </row>
    <row r="27" spans="1:17" x14ac:dyDescent="0.3">
      <c r="A27" s="2">
        <v>24</v>
      </c>
      <c r="B27">
        <v>300</v>
      </c>
      <c r="C27" s="7">
        <v>1.3699703200000002</v>
      </c>
      <c r="D27" s="6">
        <v>7.5921020000000006E-2</v>
      </c>
      <c r="E27" s="5">
        <v>1.2560447750000001</v>
      </c>
      <c r="F27">
        <v>2600</v>
      </c>
      <c r="G27" s="7"/>
      <c r="H27" s="6"/>
      <c r="I27" s="5">
        <v>14.702419566666668</v>
      </c>
    </row>
    <row r="28" spans="1:17" x14ac:dyDescent="0.3">
      <c r="A28" s="2">
        <v>25</v>
      </c>
      <c r="B28">
        <v>325</v>
      </c>
      <c r="C28" s="7">
        <v>1.69150998</v>
      </c>
      <c r="D28" s="6">
        <v>9.1298459999999998E-2</v>
      </c>
      <c r="E28" s="5">
        <v>1.4090005600000002</v>
      </c>
      <c r="F28">
        <v>2925</v>
      </c>
      <c r="G28" s="7">
        <v>679.6</v>
      </c>
      <c r="H28" s="6">
        <v>8.908031059999999</v>
      </c>
      <c r="I28" s="5">
        <v>18.113736433333333</v>
      </c>
    </row>
    <row r="29" spans="1:17" x14ac:dyDescent="0.3">
      <c r="A29" s="2">
        <v>26</v>
      </c>
      <c r="B29">
        <v>351</v>
      </c>
      <c r="C29" s="7">
        <v>1.98505942</v>
      </c>
      <c r="D29" s="6">
        <v>0.10076236000000001</v>
      </c>
      <c r="E29" s="5">
        <v>1.5488192250000004</v>
      </c>
      <c r="F29">
        <v>3276</v>
      </c>
      <c r="G29" s="7"/>
      <c r="H29" s="6"/>
      <c r="I29" s="5">
        <v>21.148166566666671</v>
      </c>
    </row>
    <row r="30" spans="1:17" x14ac:dyDescent="0.3">
      <c r="A30" s="2">
        <v>27</v>
      </c>
      <c r="B30">
        <v>378</v>
      </c>
      <c r="C30" s="7">
        <v>2.3568667400000001</v>
      </c>
      <c r="D30" s="6">
        <v>0.11699650000000002</v>
      </c>
      <c r="E30" s="5">
        <v>1.75114831</v>
      </c>
      <c r="F30">
        <v>3654</v>
      </c>
      <c r="G30" s="7"/>
      <c r="H30" s="6"/>
      <c r="I30" s="5">
        <v>24.842484366666667</v>
      </c>
    </row>
    <row r="31" spans="1:17" x14ac:dyDescent="0.3">
      <c r="A31" s="2">
        <v>28</v>
      </c>
      <c r="B31">
        <v>406</v>
      </c>
      <c r="C31" s="7">
        <v>2.9346414600000004</v>
      </c>
      <c r="D31" s="6">
        <v>0.12802649999999999</v>
      </c>
      <c r="E31" s="63">
        <v>1.942846665</v>
      </c>
      <c r="F31">
        <v>4060</v>
      </c>
      <c r="G31" s="7"/>
      <c r="H31" s="6"/>
      <c r="I31" s="5">
        <v>28.946058966666669</v>
      </c>
    </row>
    <row r="32" spans="1:17" x14ac:dyDescent="0.3">
      <c r="A32" s="2">
        <v>29</v>
      </c>
      <c r="B32">
        <v>435</v>
      </c>
      <c r="C32" s="7">
        <v>3.5538061999999995</v>
      </c>
      <c r="D32" s="6">
        <v>0.14873066000000001</v>
      </c>
      <c r="E32" s="63">
        <v>2.1799970800000001</v>
      </c>
      <c r="F32">
        <v>4495</v>
      </c>
      <c r="G32" s="7"/>
      <c r="H32" s="6"/>
      <c r="I32" s="5">
        <v>35.305066600000004</v>
      </c>
    </row>
    <row r="33" spans="1:9" x14ac:dyDescent="0.3">
      <c r="A33" s="2">
        <v>30</v>
      </c>
      <c r="B33">
        <v>465</v>
      </c>
      <c r="C33" s="7">
        <v>4.3275392200000002</v>
      </c>
      <c r="D33" s="6">
        <v>0.16683683999999999</v>
      </c>
      <c r="E33" s="5">
        <v>2.5384637550000004</v>
      </c>
      <c r="F33">
        <v>4960</v>
      </c>
      <c r="G33" s="7">
        <v>3376.38</v>
      </c>
      <c r="H33" s="6">
        <v>38.040107039999995</v>
      </c>
      <c r="I33" s="5">
        <v>42.129151199999995</v>
      </c>
    </row>
    <row r="34" spans="1:9" x14ac:dyDescent="0.3">
      <c r="A34" s="2">
        <v>35</v>
      </c>
      <c r="B34">
        <v>630</v>
      </c>
      <c r="C34" s="7">
        <v>11.88986892</v>
      </c>
      <c r="D34" s="6">
        <v>0.30069123999999997</v>
      </c>
      <c r="E34" s="5">
        <v>4.17852026</v>
      </c>
      <c r="F34">
        <v>7770</v>
      </c>
      <c r="G34" s="9"/>
      <c r="H34" s="5">
        <v>125.1647718</v>
      </c>
      <c r="I34" s="6">
        <v>95.136749099999989</v>
      </c>
    </row>
    <row r="35" spans="1:9" x14ac:dyDescent="0.3">
      <c r="A35" s="2">
        <v>40</v>
      </c>
      <c r="B35">
        <v>820</v>
      </c>
      <c r="C35" s="7">
        <v>25.236473319999995</v>
      </c>
      <c r="D35" s="6">
        <v>0.49568519999999994</v>
      </c>
      <c r="E35" s="5">
        <v>6.3664312000000001</v>
      </c>
      <c r="F35">
        <v>11480</v>
      </c>
      <c r="G35" s="9"/>
      <c r="H35" s="5">
        <v>370.39367979999997</v>
      </c>
      <c r="I35" s="6">
        <v>175.14812790000002</v>
      </c>
    </row>
    <row r="36" spans="1:9" x14ac:dyDescent="0.3">
      <c r="A36" s="2">
        <v>45</v>
      </c>
      <c r="B36">
        <v>1035</v>
      </c>
      <c r="C36" s="7">
        <v>56.544956366666668</v>
      </c>
      <c r="D36" s="6">
        <v>0.80555524000000001</v>
      </c>
      <c r="E36" s="5">
        <v>9.8831791400000011</v>
      </c>
      <c r="F36">
        <v>16215</v>
      </c>
      <c r="H36" s="5">
        <v>1086.0201896999999</v>
      </c>
      <c r="I36" s="51">
        <v>332.94932940000001</v>
      </c>
    </row>
    <row r="37" spans="1:9" x14ac:dyDescent="0.3">
      <c r="A37" s="2">
        <v>50</v>
      </c>
      <c r="B37">
        <v>1275</v>
      </c>
      <c r="C37" s="7">
        <v>120.1139774</v>
      </c>
      <c r="D37" s="6">
        <v>1.3144702333333333</v>
      </c>
      <c r="E37" s="5">
        <v>15.868211633333333</v>
      </c>
      <c r="F37">
        <v>22100</v>
      </c>
      <c r="I37" s="52">
        <v>594.58825760000002</v>
      </c>
    </row>
    <row r="38" spans="1:9" x14ac:dyDescent="0.3">
      <c r="A38" s="2"/>
      <c r="C38" s="9"/>
      <c r="D38" s="9"/>
      <c r="E38" s="9"/>
    </row>
    <row r="39" spans="1:9" x14ac:dyDescent="0.3">
      <c r="A39" s="2">
        <v>60</v>
      </c>
      <c r="B39">
        <v>1830</v>
      </c>
      <c r="C39" s="7">
        <v>441.87783530000002</v>
      </c>
      <c r="D39" s="6">
        <v>2.800247933333333</v>
      </c>
      <c r="E39" s="5">
        <v>31.2651982</v>
      </c>
    </row>
    <row r="40" spans="1:9" x14ac:dyDescent="0.3">
      <c r="A40" s="2">
        <v>70</v>
      </c>
      <c r="B40">
        <v>2485</v>
      </c>
      <c r="C40" s="4" t="s">
        <v>21</v>
      </c>
      <c r="D40" s="6">
        <v>6.2341727999999996</v>
      </c>
      <c r="E40" s="5">
        <v>55.996203399999999</v>
      </c>
    </row>
    <row r="41" spans="1:9" x14ac:dyDescent="0.3">
      <c r="A41" s="2">
        <v>80</v>
      </c>
      <c r="B41">
        <v>3240</v>
      </c>
      <c r="D41" s="6">
        <v>12.487203200000002</v>
      </c>
      <c r="E41" s="5">
        <v>110.90585229999999</v>
      </c>
    </row>
    <row r="42" spans="1:9" x14ac:dyDescent="0.3">
      <c r="A42" s="2">
        <v>90</v>
      </c>
      <c r="B42">
        <v>4095</v>
      </c>
      <c r="D42" s="6">
        <v>23.887301400000002</v>
      </c>
      <c r="E42" s="5">
        <v>168.2752265</v>
      </c>
    </row>
    <row r="43" spans="1:9" x14ac:dyDescent="0.3">
      <c r="A43" s="2">
        <v>100</v>
      </c>
      <c r="B43">
        <v>5050</v>
      </c>
      <c r="D43" s="6">
        <v>40.637031233333332</v>
      </c>
      <c r="E43" s="5">
        <v>282.60610249999996</v>
      </c>
    </row>
    <row r="44" spans="1:9" x14ac:dyDescent="0.3">
      <c r="A44" s="2"/>
      <c r="D44" s="1"/>
      <c r="E44" s="1"/>
    </row>
    <row r="45" spans="1:9" x14ac:dyDescent="0.3">
      <c r="A45" s="2">
        <v>150</v>
      </c>
      <c r="B45">
        <v>11325</v>
      </c>
      <c r="D45" s="3">
        <v>381.6920283</v>
      </c>
      <c r="E45" s="50">
        <v>2115.6538992000001</v>
      </c>
    </row>
    <row r="46" spans="1:9" x14ac:dyDescent="0.3">
      <c r="C46" s="1"/>
      <c r="D46" s="1"/>
      <c r="E46" s="1"/>
    </row>
    <row r="47" spans="1:9" x14ac:dyDescent="0.3">
      <c r="C47" s="1"/>
      <c r="D47" s="1"/>
      <c r="E47" s="1"/>
    </row>
    <row r="48" spans="1:9" x14ac:dyDescent="0.3">
      <c r="C48" s="1"/>
      <c r="D48" s="1"/>
      <c r="E48" s="1"/>
    </row>
    <row r="49" spans="3:5" x14ac:dyDescent="0.3">
      <c r="C49" s="1"/>
      <c r="D49" s="1"/>
      <c r="E49" s="1"/>
    </row>
    <row r="50" spans="3:5" x14ac:dyDescent="0.3">
      <c r="C50" s="1"/>
      <c r="D50" s="1"/>
      <c r="E50" s="1"/>
    </row>
    <row r="51" spans="3:5" x14ac:dyDescent="0.3">
      <c r="C51" s="1"/>
      <c r="D51" s="1"/>
      <c r="E51" s="1"/>
    </row>
    <row r="52" spans="3:5" x14ac:dyDescent="0.3">
      <c r="C52" s="1"/>
      <c r="D52" s="1"/>
      <c r="E52" s="1"/>
    </row>
    <row r="53" spans="3:5" x14ac:dyDescent="0.3">
      <c r="C53" s="1"/>
      <c r="D53" s="1"/>
      <c r="E53" s="1"/>
    </row>
    <row r="54" spans="3:5" x14ac:dyDescent="0.3">
      <c r="C54" s="1"/>
      <c r="D54" s="1"/>
      <c r="E54" s="1"/>
    </row>
    <row r="55" spans="3:5" x14ac:dyDescent="0.3">
      <c r="C55" s="1"/>
      <c r="D55" s="1"/>
      <c r="E55" s="1"/>
    </row>
    <row r="56" spans="3:5" x14ac:dyDescent="0.3">
      <c r="C56" s="1"/>
      <c r="D56" s="1"/>
      <c r="E56" s="1"/>
    </row>
    <row r="57" spans="3:5" x14ac:dyDescent="0.3">
      <c r="C57" s="1"/>
      <c r="D57" s="1"/>
      <c r="E57" s="1"/>
    </row>
    <row r="58" spans="3:5" x14ac:dyDescent="0.3">
      <c r="C58" s="1"/>
      <c r="D58" s="1"/>
      <c r="E58" s="1"/>
    </row>
    <row r="59" spans="3:5" x14ac:dyDescent="0.3">
      <c r="C59" s="1"/>
      <c r="D59" s="1"/>
      <c r="E59" s="1"/>
    </row>
    <row r="60" spans="3:5" x14ac:dyDescent="0.3">
      <c r="C60" s="1"/>
      <c r="D60" s="1"/>
      <c r="E60" s="1"/>
    </row>
    <row r="61" spans="3:5" x14ac:dyDescent="0.3">
      <c r="C61" s="1"/>
      <c r="D61" s="1"/>
      <c r="E61" s="1"/>
    </row>
    <row r="62" spans="3:5" x14ac:dyDescent="0.3">
      <c r="C62" s="1"/>
      <c r="D62" s="1"/>
      <c r="E62" s="1"/>
    </row>
    <row r="63" spans="3:5" x14ac:dyDescent="0.3">
      <c r="C63" s="1"/>
      <c r="D63" s="1"/>
      <c r="E63" s="1"/>
    </row>
    <row r="64" spans="3:5" x14ac:dyDescent="0.3">
      <c r="C64" s="1"/>
      <c r="D64" s="1"/>
      <c r="E64" s="1"/>
    </row>
    <row r="65" spans="3:5" x14ac:dyDescent="0.3">
      <c r="C65" s="1"/>
      <c r="D65" s="1"/>
      <c r="E65" s="1"/>
    </row>
    <row r="66" spans="3:5" x14ac:dyDescent="0.3">
      <c r="C66" s="1"/>
      <c r="D66" s="1"/>
      <c r="E66" s="1"/>
    </row>
    <row r="67" spans="3:5" x14ac:dyDescent="0.3">
      <c r="C67" s="1"/>
      <c r="D67" s="1"/>
      <c r="E6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D06B-46E3-4012-A76C-FB4F508C2BBF}">
  <dimension ref="A1:B22"/>
  <sheetViews>
    <sheetView workbookViewId="0">
      <selection activeCell="B31" sqref="B31"/>
    </sheetView>
  </sheetViews>
  <sheetFormatPr defaultRowHeight="14.4" x14ac:dyDescent="0.3"/>
  <cols>
    <col min="1" max="1" width="15.6640625" bestFit="1" customWidth="1"/>
    <col min="2" max="2" width="63.88671875" bestFit="1" customWidth="1"/>
  </cols>
  <sheetData>
    <row r="1" spans="1:2" x14ac:dyDescent="0.3">
      <c r="A1" s="12" t="s">
        <v>23</v>
      </c>
      <c r="B1" t="s">
        <v>40</v>
      </c>
    </row>
    <row r="2" spans="1:2" x14ac:dyDescent="0.3">
      <c r="A2" s="12" t="s">
        <v>0</v>
      </c>
      <c r="B2" t="s">
        <v>41</v>
      </c>
    </row>
    <row r="3" spans="1:2" x14ac:dyDescent="0.3">
      <c r="A3" s="12" t="s">
        <v>24</v>
      </c>
      <c r="B3" t="s">
        <v>42</v>
      </c>
    </row>
    <row r="4" spans="1:2" x14ac:dyDescent="0.3">
      <c r="A4" s="12" t="s">
        <v>25</v>
      </c>
      <c r="B4" t="s">
        <v>43</v>
      </c>
    </row>
    <row r="5" spans="1:2" x14ac:dyDescent="0.3">
      <c r="A5" s="12" t="s">
        <v>26</v>
      </c>
      <c r="B5" t="s">
        <v>44</v>
      </c>
    </row>
    <row r="6" spans="1:2" x14ac:dyDescent="0.3">
      <c r="A6" s="12" t="s">
        <v>27</v>
      </c>
      <c r="B6" t="s">
        <v>45</v>
      </c>
    </row>
    <row r="7" spans="1:2" x14ac:dyDescent="0.3">
      <c r="A7" s="13" t="s">
        <v>28</v>
      </c>
      <c r="B7" t="s">
        <v>46</v>
      </c>
    </row>
    <row r="8" spans="1:2" x14ac:dyDescent="0.3">
      <c r="A8" s="14" t="s">
        <v>29</v>
      </c>
      <c r="B8" t="s">
        <v>47</v>
      </c>
    </row>
    <row r="9" spans="1:2" x14ac:dyDescent="0.3">
      <c r="A9" s="14" t="s">
        <v>30</v>
      </c>
      <c r="B9" t="s">
        <v>50</v>
      </c>
    </row>
    <row r="10" spans="1:2" x14ac:dyDescent="0.3">
      <c r="A10" s="14" t="s">
        <v>31</v>
      </c>
      <c r="B10" t="s">
        <v>51</v>
      </c>
    </row>
    <row r="11" spans="1:2" x14ac:dyDescent="0.3">
      <c r="A11" s="15" t="s">
        <v>32</v>
      </c>
      <c r="B11" t="s">
        <v>48</v>
      </c>
    </row>
    <row r="12" spans="1:2" x14ac:dyDescent="0.3">
      <c r="A12" s="15" t="s">
        <v>33</v>
      </c>
      <c r="B12" t="s">
        <v>49</v>
      </c>
    </row>
    <row r="13" spans="1:2" x14ac:dyDescent="0.3">
      <c r="A13" s="14" t="s">
        <v>34</v>
      </c>
      <c r="B13" t="s">
        <v>52</v>
      </c>
    </row>
    <row r="14" spans="1:2" x14ac:dyDescent="0.3">
      <c r="A14" s="15" t="s">
        <v>35</v>
      </c>
      <c r="B14" t="s">
        <v>56</v>
      </c>
    </row>
    <row r="15" spans="1:2" x14ac:dyDescent="0.3">
      <c r="A15" s="15" t="s">
        <v>36</v>
      </c>
      <c r="B15" t="s">
        <v>57</v>
      </c>
    </row>
    <row r="16" spans="1:2" x14ac:dyDescent="0.3">
      <c r="A16" s="14" t="s">
        <v>37</v>
      </c>
      <c r="B16" t="s">
        <v>53</v>
      </c>
    </row>
    <row r="17" spans="1:2" x14ac:dyDescent="0.3">
      <c r="A17" s="15" t="s">
        <v>38</v>
      </c>
      <c r="B17" t="s">
        <v>54</v>
      </c>
    </row>
    <row r="18" spans="1:2" x14ac:dyDescent="0.3">
      <c r="A18" s="15" t="s">
        <v>39</v>
      </c>
      <c r="B18" t="s">
        <v>55</v>
      </c>
    </row>
    <row r="20" spans="1:2" x14ac:dyDescent="0.3">
      <c r="A20" s="7">
        <v>0.8702651400000001</v>
      </c>
      <c r="B20" t="s">
        <v>58</v>
      </c>
    </row>
    <row r="21" spans="1:2" x14ac:dyDescent="0.3">
      <c r="A21" s="5">
        <v>0.3514177</v>
      </c>
      <c r="B21" t="s">
        <v>60</v>
      </c>
    </row>
    <row r="22" spans="1:2" x14ac:dyDescent="0.3">
      <c r="A22" s="6">
        <v>3.1552719999999999E-2</v>
      </c>
      <c r="B22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4B41-E54D-4E4B-A641-06B53D0464D3}">
  <dimension ref="A1:V161"/>
  <sheetViews>
    <sheetView tabSelected="1" workbookViewId="0">
      <selection activeCell="X4" sqref="X4"/>
    </sheetView>
  </sheetViews>
  <sheetFormatPr defaultRowHeight="14.4" x14ac:dyDescent="0.3"/>
  <cols>
    <col min="1" max="2" width="4" style="16" bestFit="1" customWidth="1"/>
    <col min="3" max="3" width="7.21875" style="16" bestFit="1" customWidth="1"/>
    <col min="4" max="4" width="6" style="16" bestFit="1" customWidth="1"/>
    <col min="5" max="5" width="5.77734375" style="16" bestFit="1" customWidth="1"/>
    <col min="6" max="6" width="6" style="16" customWidth="1"/>
    <col min="7" max="7" width="15.21875" style="17" bestFit="1" customWidth="1"/>
    <col min="8" max="8" width="15.6640625" style="18" bestFit="1" customWidth="1"/>
    <col min="9" max="9" width="14.77734375" style="18" bestFit="1" customWidth="1"/>
    <col min="10" max="10" width="15.109375" style="18" bestFit="1" customWidth="1"/>
    <col min="11" max="11" width="12.44140625" style="19" bestFit="1" customWidth="1"/>
    <col min="12" max="12" width="12" style="19" bestFit="1" customWidth="1"/>
    <col min="13" max="13" width="14.33203125" style="18" bestFit="1" customWidth="1"/>
    <col min="14" max="15" width="12" style="19" bestFit="1" customWidth="1"/>
    <col min="16" max="16" width="13.6640625" style="18" bestFit="1" customWidth="1"/>
    <col min="17" max="18" width="12" style="19" bestFit="1" customWidth="1"/>
    <col min="19" max="19" width="16" style="69" bestFit="1" customWidth="1"/>
    <col min="20" max="20" width="14.6640625" style="69" customWidth="1"/>
    <col min="21" max="22" width="8.88671875" style="67"/>
    <col min="23" max="16384" width="8.88671875" style="16"/>
  </cols>
  <sheetData>
    <row r="1" spans="1:22" x14ac:dyDescent="0.3">
      <c r="A1" s="38" t="s">
        <v>23</v>
      </c>
      <c r="B1" s="38" t="s">
        <v>0</v>
      </c>
      <c r="C1" s="39" t="s">
        <v>24</v>
      </c>
      <c r="D1" s="38" t="s">
        <v>25</v>
      </c>
      <c r="E1" s="38" t="s">
        <v>26</v>
      </c>
      <c r="F1" s="40" t="s">
        <v>27</v>
      </c>
      <c r="G1" s="41" t="s">
        <v>28</v>
      </c>
      <c r="H1" s="42" t="s">
        <v>29</v>
      </c>
      <c r="I1" s="42" t="s">
        <v>30</v>
      </c>
      <c r="J1" s="42" t="s">
        <v>31</v>
      </c>
      <c r="K1" s="43" t="s">
        <v>32</v>
      </c>
      <c r="L1" s="44" t="s">
        <v>33</v>
      </c>
      <c r="M1" s="45" t="s">
        <v>34</v>
      </c>
      <c r="N1" s="43" t="s">
        <v>35</v>
      </c>
      <c r="O1" s="44" t="s">
        <v>36</v>
      </c>
      <c r="P1" s="45" t="s">
        <v>37</v>
      </c>
      <c r="Q1" s="43" t="s">
        <v>38</v>
      </c>
      <c r="R1" s="44" t="s">
        <v>39</v>
      </c>
      <c r="S1" s="68" t="s">
        <v>62</v>
      </c>
      <c r="T1" s="68" t="s">
        <v>64</v>
      </c>
      <c r="U1" s="66" t="s">
        <v>63</v>
      </c>
    </row>
    <row r="2" spans="1:22" x14ac:dyDescent="0.3">
      <c r="A2" s="20">
        <v>2</v>
      </c>
      <c r="B2" s="20">
        <v>2</v>
      </c>
      <c r="C2" s="33">
        <v>20</v>
      </c>
      <c r="D2" s="34">
        <v>20</v>
      </c>
      <c r="E2" s="34">
        <v>20</v>
      </c>
      <c r="F2" s="35">
        <v>3</v>
      </c>
      <c r="G2" s="21">
        <v>0</v>
      </c>
      <c r="H2" s="22">
        <v>17.249999999999996</v>
      </c>
      <c r="I2" s="22">
        <v>6.6805000000000098E-4</v>
      </c>
      <c r="J2" s="22">
        <v>1.985483E-2</v>
      </c>
      <c r="K2" s="23">
        <v>6.6476105091071594E-16</v>
      </c>
      <c r="L2" s="27">
        <v>1.4871270873652407E-16</v>
      </c>
      <c r="M2" s="30">
        <v>7.3952999999999996E-4</v>
      </c>
      <c r="N2" s="23">
        <v>1.2043509380705698E-15</v>
      </c>
      <c r="O2" s="27">
        <v>4.5048350592772856E-16</v>
      </c>
      <c r="P2" s="30">
        <v>4.8707000000000004E-3</v>
      </c>
      <c r="Q2" s="23">
        <v>8.2003564423571665E-16</v>
      </c>
      <c r="R2" s="27">
        <v>5.9272017089337676E-16</v>
      </c>
      <c r="S2" s="69">
        <v>1</v>
      </c>
      <c r="T2" s="69">
        <v>1</v>
      </c>
      <c r="U2" s="67">
        <v>1</v>
      </c>
      <c r="V2" s="67">
        <v>1</v>
      </c>
    </row>
    <row r="3" spans="1:22" x14ac:dyDescent="0.3">
      <c r="A3" s="20">
        <v>2</v>
      </c>
      <c r="B3" s="20">
        <v>3</v>
      </c>
      <c r="C3" s="33">
        <v>20</v>
      </c>
      <c r="D3" s="34">
        <v>20</v>
      </c>
      <c r="E3" s="34">
        <v>20</v>
      </c>
      <c r="F3" s="35">
        <v>6</v>
      </c>
      <c r="G3" s="21">
        <v>0</v>
      </c>
      <c r="H3" s="22">
        <v>18.358333333333331</v>
      </c>
      <c r="I3" s="22">
        <v>8.8916999999999902E-4</v>
      </c>
      <c r="J3" s="22">
        <v>3.0805554999999998E-2</v>
      </c>
      <c r="K3" s="23">
        <v>1.0251605734416759E-15</v>
      </c>
      <c r="L3" s="27">
        <v>1.0741390525641387E-16</v>
      </c>
      <c r="M3" s="30">
        <v>1.0246000000000001E-3</v>
      </c>
      <c r="N3" s="23">
        <v>4.3355089091719172E-15</v>
      </c>
      <c r="O3" s="27">
        <v>9.401395716992979E-16</v>
      </c>
      <c r="P3" s="30">
        <v>6.6463E-3</v>
      </c>
      <c r="Q3" s="23">
        <v>1.6997939109022877E-15</v>
      </c>
      <c r="R3" s="27">
        <v>5.2996279196627281E-16</v>
      </c>
    </row>
    <row r="4" spans="1:22" x14ac:dyDescent="0.3">
      <c r="A4" s="20">
        <v>2</v>
      </c>
      <c r="B4" s="20">
        <v>4</v>
      </c>
      <c r="C4" s="33">
        <v>20</v>
      </c>
      <c r="D4" s="34">
        <v>20</v>
      </c>
      <c r="E4" s="34">
        <v>20</v>
      </c>
      <c r="F4" s="35">
        <v>10</v>
      </c>
      <c r="G4" s="21">
        <v>0</v>
      </c>
      <c r="H4" s="22">
        <v>18.164999999999999</v>
      </c>
      <c r="I4" s="22">
        <v>1.14091E-3</v>
      </c>
      <c r="J4" s="22">
        <v>4.3799095000000003E-2</v>
      </c>
      <c r="K4" s="23">
        <v>6.3820629949653316E-15</v>
      </c>
      <c r="L4" s="27">
        <v>9.2660390478903813E-17</v>
      </c>
      <c r="M4" s="30">
        <v>1.58939E-3</v>
      </c>
      <c r="N4" s="23">
        <v>4.6107971044046013E-15</v>
      </c>
      <c r="O4" s="27">
        <v>6.6453152485295455E-16</v>
      </c>
      <c r="P4" s="30">
        <v>1.0923445E-2</v>
      </c>
      <c r="Q4" s="23">
        <v>1.406546816044576E-15</v>
      </c>
      <c r="R4" s="27">
        <v>3.4933669516830488E-16</v>
      </c>
    </row>
    <row r="5" spans="1:22" x14ac:dyDescent="0.3">
      <c r="A5" s="20">
        <v>2</v>
      </c>
      <c r="B5" s="20">
        <v>5</v>
      </c>
      <c r="C5" s="33">
        <v>20</v>
      </c>
      <c r="D5" s="34">
        <v>20</v>
      </c>
      <c r="E5" s="34">
        <v>20</v>
      </c>
      <c r="F5" s="35">
        <v>15</v>
      </c>
      <c r="G5" s="21">
        <v>6.6666666666666671E-3</v>
      </c>
      <c r="H5" s="22">
        <v>20.786666666666669</v>
      </c>
      <c r="I5" s="22">
        <v>1.637E-3</v>
      </c>
      <c r="J5" s="22">
        <v>5.2675250000000007E-2</v>
      </c>
      <c r="K5" s="23">
        <v>2.0065368475387842E-15</v>
      </c>
      <c r="L5" s="27">
        <v>9.7450602314897623E-17</v>
      </c>
      <c r="M5" s="30">
        <v>2.0284500000000002E-3</v>
      </c>
      <c r="N5" s="23">
        <v>1.0759946323733104E-14</v>
      </c>
      <c r="O5" s="27">
        <v>1.2803942844333603E-15</v>
      </c>
      <c r="P5" s="30">
        <v>1.3631885E-2</v>
      </c>
      <c r="Q5" s="23">
        <v>2.5240441555766486E-15</v>
      </c>
      <c r="R5" s="27">
        <v>4.4142888835188977E-16</v>
      </c>
    </row>
    <row r="6" spans="1:22" x14ac:dyDescent="0.3">
      <c r="A6" s="20">
        <v>2</v>
      </c>
      <c r="B6" s="20">
        <v>6</v>
      </c>
      <c r="C6" s="33">
        <v>20</v>
      </c>
      <c r="D6" s="34">
        <v>20</v>
      </c>
      <c r="E6" s="34">
        <v>20</v>
      </c>
      <c r="F6" s="35">
        <v>21</v>
      </c>
      <c r="G6" s="21">
        <v>0</v>
      </c>
      <c r="H6" s="22">
        <v>21.464285714285712</v>
      </c>
      <c r="I6" s="22">
        <v>2.2006999999999999E-3</v>
      </c>
      <c r="J6" s="22">
        <v>6.2096049999999979E-2</v>
      </c>
      <c r="K6" s="23">
        <v>1.7911300476473016E-15</v>
      </c>
      <c r="L6" s="27">
        <v>9.4642885895182265E-17</v>
      </c>
      <c r="M6" s="30">
        <v>2.9149549999999995E-3</v>
      </c>
      <c r="N6" s="23">
        <v>8.7252033198874927E-14</v>
      </c>
      <c r="O6" s="27">
        <v>2.0515246491555416E-15</v>
      </c>
      <c r="P6" s="30">
        <v>1.8878844999999998E-2</v>
      </c>
      <c r="Q6" s="23">
        <v>1.0888063679217238E-14</v>
      </c>
      <c r="R6" s="27">
        <v>6.1218422523590752E-16</v>
      </c>
    </row>
    <row r="7" spans="1:22" x14ac:dyDescent="0.3">
      <c r="A7" s="20">
        <v>2</v>
      </c>
      <c r="B7" s="20">
        <v>7</v>
      </c>
      <c r="C7" s="33">
        <v>20</v>
      </c>
      <c r="D7" s="34">
        <v>20</v>
      </c>
      <c r="E7" s="34">
        <v>20</v>
      </c>
      <c r="F7" s="35">
        <v>28</v>
      </c>
      <c r="G7" s="21">
        <v>0</v>
      </c>
      <c r="H7" s="22">
        <v>22.783928571428568</v>
      </c>
      <c r="I7" s="22">
        <v>2.8816650000000007E-3</v>
      </c>
      <c r="J7" s="22">
        <v>8.2486694999999999E-2</v>
      </c>
      <c r="K7" s="23">
        <v>2.4003620004368138E-15</v>
      </c>
      <c r="L7" s="27">
        <v>9.460744161122868E-17</v>
      </c>
      <c r="M7" s="30">
        <v>2.8811699999999997E-3</v>
      </c>
      <c r="N7" s="23">
        <v>2.1980091229728117E-14</v>
      </c>
      <c r="O7" s="27">
        <v>1.8648884709889646E-15</v>
      </c>
      <c r="P7" s="30">
        <v>2.2593479999999999E-2</v>
      </c>
      <c r="Q7" s="23">
        <v>9.8790146686599339E-15</v>
      </c>
      <c r="R7" s="27">
        <v>5.9834603778956113E-16</v>
      </c>
    </row>
    <row r="8" spans="1:22" x14ac:dyDescent="0.3">
      <c r="A8" s="20">
        <v>2</v>
      </c>
      <c r="B8" s="20">
        <v>8</v>
      </c>
      <c r="C8" s="33">
        <v>20</v>
      </c>
      <c r="D8" s="34">
        <v>20</v>
      </c>
      <c r="E8" s="34">
        <v>20</v>
      </c>
      <c r="F8" s="35">
        <v>36</v>
      </c>
      <c r="G8" s="21">
        <v>5.5555555555555558E-3</v>
      </c>
      <c r="H8" s="22">
        <v>24.6</v>
      </c>
      <c r="I8" s="22">
        <v>4.5765500000000004E-3</v>
      </c>
      <c r="J8" s="22">
        <v>0.10883477000000004</v>
      </c>
      <c r="K8" s="23">
        <v>4.388090394311456E-15</v>
      </c>
      <c r="L8" s="27">
        <v>9.6926112942468842E-17</v>
      </c>
      <c r="M8" s="30">
        <v>4.3376150000000013E-3</v>
      </c>
      <c r="N8" s="23">
        <v>3.6853357569572635E-14</v>
      </c>
      <c r="O8" s="27">
        <v>3.225962586316642E-15</v>
      </c>
      <c r="P8" s="30">
        <v>3.2583279999999999E-2</v>
      </c>
      <c r="Q8" s="23">
        <v>2.1020438052838356E-14</v>
      </c>
      <c r="R8" s="27">
        <v>6.6948757332753836E-16</v>
      </c>
    </row>
    <row r="9" spans="1:22" x14ac:dyDescent="0.3">
      <c r="A9" s="20">
        <v>2</v>
      </c>
      <c r="B9" s="20">
        <v>9</v>
      </c>
      <c r="C9" s="33">
        <v>20</v>
      </c>
      <c r="D9" s="34">
        <v>20</v>
      </c>
      <c r="E9" s="34">
        <v>20</v>
      </c>
      <c r="F9" s="35">
        <v>45</v>
      </c>
      <c r="G9" s="21">
        <v>6.6666666666666662E-3</v>
      </c>
      <c r="H9" s="22">
        <v>26.690000000000005</v>
      </c>
      <c r="I9" s="22">
        <v>4.3009249999999997E-3</v>
      </c>
      <c r="J9" s="22">
        <v>0.130007495</v>
      </c>
      <c r="K9" s="23">
        <v>2.3683051687901541E-15</v>
      </c>
      <c r="L9" s="27">
        <v>9.7490299950827517E-17</v>
      </c>
      <c r="M9" s="30">
        <v>4.9303649999999999E-3</v>
      </c>
      <c r="N9" s="23">
        <v>4.8636226151918719E-14</v>
      </c>
      <c r="O9" s="27">
        <v>4.0257863178269676E-15</v>
      </c>
      <c r="P9" s="30">
        <v>4.0279195000000004E-2</v>
      </c>
      <c r="Q9" s="23">
        <v>3.5126705929235981E-14</v>
      </c>
      <c r="R9" s="27">
        <v>1.4250195290242512E-15</v>
      </c>
    </row>
    <row r="10" spans="1:22" x14ac:dyDescent="0.3">
      <c r="A10" s="20">
        <v>2</v>
      </c>
      <c r="B10" s="20">
        <v>10</v>
      </c>
      <c r="C10" s="33">
        <v>20</v>
      </c>
      <c r="D10" s="34">
        <v>20</v>
      </c>
      <c r="E10" s="34">
        <v>20</v>
      </c>
      <c r="F10" s="35">
        <v>55</v>
      </c>
      <c r="G10" s="21">
        <v>9.0909090909090905E-3</v>
      </c>
      <c r="H10" s="22">
        <v>27.421818181818178</v>
      </c>
      <c r="I10" s="22">
        <v>4.3764499999999996E-3</v>
      </c>
      <c r="J10" s="22">
        <v>0.14224112000000003</v>
      </c>
      <c r="K10" s="23">
        <v>3.4552741402881735E-15</v>
      </c>
      <c r="L10" s="27">
        <v>9.8450170249782374E-17</v>
      </c>
      <c r="M10" s="30">
        <v>6.4831199999999993E-3</v>
      </c>
      <c r="N10" s="23">
        <v>1.4523871875496615E-13</v>
      </c>
      <c r="O10" s="27">
        <v>1.0648227680971793E-14</v>
      </c>
      <c r="P10" s="30">
        <v>5.3366984999999999E-2</v>
      </c>
      <c r="Q10" s="23">
        <v>1.1848816265665029E-13</v>
      </c>
      <c r="R10" s="27">
        <v>1.7643512804122316E-15</v>
      </c>
    </row>
    <row r="11" spans="1:22" x14ac:dyDescent="0.3">
      <c r="A11" s="20">
        <v>2</v>
      </c>
      <c r="B11" s="20">
        <v>11</v>
      </c>
      <c r="C11" s="33">
        <v>20</v>
      </c>
      <c r="D11" s="34">
        <v>5</v>
      </c>
      <c r="E11" s="34">
        <v>5</v>
      </c>
      <c r="F11" s="35">
        <v>66</v>
      </c>
      <c r="G11" s="21">
        <v>4.5454545454545452E-3</v>
      </c>
      <c r="H11" s="22">
        <v>28.695454545454545</v>
      </c>
      <c r="I11" s="22">
        <v>5.1829900000000002E-3</v>
      </c>
      <c r="J11" s="22">
        <v>0.15834911500000001</v>
      </c>
      <c r="K11" s="23">
        <v>3.0293475691483342E-15</v>
      </c>
      <c r="L11" s="27">
        <v>9.8473024182128511E-17</v>
      </c>
      <c r="M11" s="30">
        <v>7.9231799999999984E-3</v>
      </c>
      <c r="N11" s="23">
        <v>4.7360061307240158E-13</v>
      </c>
      <c r="O11" s="27">
        <v>2.3649032079848191E-14</v>
      </c>
      <c r="P11" s="30">
        <v>5.9494120000000005E-2</v>
      </c>
      <c r="Q11" s="23">
        <v>1.0724377380680942E-13</v>
      </c>
      <c r="R11" s="27">
        <v>1.5888123130548142E-15</v>
      </c>
    </row>
    <row r="12" spans="1:22" x14ac:dyDescent="0.3">
      <c r="A12" s="20">
        <v>2</v>
      </c>
      <c r="B12" s="20">
        <v>12</v>
      </c>
      <c r="C12" s="33">
        <v>20</v>
      </c>
      <c r="D12" s="34">
        <v>5</v>
      </c>
      <c r="E12" s="34">
        <v>5</v>
      </c>
      <c r="F12" s="35">
        <v>78</v>
      </c>
      <c r="G12" s="21">
        <v>1.3461538461538462E-2</v>
      </c>
      <c r="H12" s="22">
        <v>30.328205128205127</v>
      </c>
      <c r="I12" s="22">
        <v>5.2430050000000002E-3</v>
      </c>
      <c r="J12" s="22">
        <v>0.19490289500000002</v>
      </c>
      <c r="K12" s="23">
        <v>4.0897654333766215E-15</v>
      </c>
      <c r="L12" s="27">
        <v>1.0070488883126816E-16</v>
      </c>
      <c r="M12" s="30">
        <v>9.9332399999999994E-3</v>
      </c>
      <c r="N12" s="23">
        <v>1.4490282879421298E-13</v>
      </c>
      <c r="O12" s="27">
        <v>1.7622589945662881E-14</v>
      </c>
      <c r="P12" s="30">
        <v>8.0031839999999993E-2</v>
      </c>
      <c r="Q12" s="23">
        <v>3.9617170113860653E-13</v>
      </c>
      <c r="R12" s="27">
        <v>2.3356029560573503E-15</v>
      </c>
    </row>
    <row r="13" spans="1:22" x14ac:dyDescent="0.3">
      <c r="A13" s="20">
        <v>2</v>
      </c>
      <c r="B13" s="20">
        <v>13</v>
      </c>
      <c r="C13" s="33">
        <v>20</v>
      </c>
      <c r="D13" s="34">
        <v>5</v>
      </c>
      <c r="E13" s="34">
        <v>5</v>
      </c>
      <c r="F13" s="35">
        <v>91</v>
      </c>
      <c r="G13" s="21">
        <v>9.8901098901098897E-3</v>
      </c>
      <c r="H13" s="22">
        <v>31.519230769230774</v>
      </c>
      <c r="I13" s="22">
        <v>6.3392850000000001E-3</v>
      </c>
      <c r="J13" s="22">
        <v>0.23170724500000003</v>
      </c>
      <c r="K13" s="23">
        <v>3.5643724070393367E-15</v>
      </c>
      <c r="L13" s="27">
        <v>1.0041707028599198E-16</v>
      </c>
      <c r="M13" s="30">
        <v>1.151434E-2</v>
      </c>
      <c r="N13" s="23">
        <v>9.4048421540270501E-14</v>
      </c>
      <c r="O13" s="27">
        <v>4.254964775705143E-15</v>
      </c>
      <c r="P13" s="30">
        <v>0.10024141999999998</v>
      </c>
      <c r="Q13" s="23">
        <v>1.8403110265396752E-13</v>
      </c>
      <c r="R13" s="27">
        <v>3.6181620657799192E-15</v>
      </c>
    </row>
    <row r="14" spans="1:22" x14ac:dyDescent="0.3">
      <c r="A14" s="20">
        <v>2</v>
      </c>
      <c r="B14" s="20">
        <v>14</v>
      </c>
      <c r="C14" s="33">
        <v>20</v>
      </c>
      <c r="D14" s="34">
        <v>5</v>
      </c>
      <c r="E14" s="34">
        <v>5</v>
      </c>
      <c r="F14" s="35">
        <v>105</v>
      </c>
      <c r="G14" s="21">
        <v>1.0476190476190477E-2</v>
      </c>
      <c r="H14" s="22">
        <v>32.881904761904764</v>
      </c>
      <c r="I14" s="22">
        <v>7.4810100000000006E-3</v>
      </c>
      <c r="J14" s="22">
        <v>0.27117799999999997</v>
      </c>
      <c r="K14" s="23">
        <v>3.8799261807797476E-14</v>
      </c>
      <c r="L14" s="27">
        <v>1.0189212509884523E-16</v>
      </c>
      <c r="M14" s="30">
        <v>1.62122E-2</v>
      </c>
      <c r="N14" s="23">
        <v>2.8054529250795828E-13</v>
      </c>
      <c r="O14" s="27">
        <v>9.4867706704953889E-15</v>
      </c>
      <c r="P14" s="30">
        <v>0.13704146</v>
      </c>
      <c r="Q14" s="23">
        <v>1.1491681480018786E-12</v>
      </c>
      <c r="R14" s="27">
        <v>2.7838264868631072E-15</v>
      </c>
    </row>
    <row r="15" spans="1:22" x14ac:dyDescent="0.3">
      <c r="A15" s="20">
        <v>2</v>
      </c>
      <c r="B15" s="20">
        <v>15</v>
      </c>
      <c r="C15" s="33">
        <v>20</v>
      </c>
      <c r="D15" s="34">
        <v>5</v>
      </c>
      <c r="E15" s="34">
        <v>5</v>
      </c>
      <c r="F15" s="35">
        <v>120</v>
      </c>
      <c r="G15" s="21">
        <v>1.0833333333333334E-2</v>
      </c>
      <c r="H15" s="22">
        <v>33.717916666666682</v>
      </c>
      <c r="I15" s="22">
        <v>8.1833949999999996E-3</v>
      </c>
      <c r="J15" s="22">
        <v>0.32632619000000007</v>
      </c>
      <c r="K15" s="23">
        <v>2.0962637031720853E-14</v>
      </c>
      <c r="L15" s="27">
        <v>1.0358229404531319E-16</v>
      </c>
      <c r="M15" s="30">
        <v>1.9705760000000003E-2</v>
      </c>
      <c r="N15" s="23">
        <v>7.9288617249618354E-13</v>
      </c>
      <c r="O15" s="27">
        <v>1.0953625509670776E-14</v>
      </c>
      <c r="P15" s="30">
        <v>0.18245011999999999</v>
      </c>
      <c r="Q15" s="23">
        <v>5.5670748523512336E-13</v>
      </c>
      <c r="R15" s="27">
        <v>7.3576942600163309E-15</v>
      </c>
    </row>
    <row r="16" spans="1:22" x14ac:dyDescent="0.3">
      <c r="A16" s="20">
        <v>2</v>
      </c>
      <c r="B16" s="20">
        <v>16</v>
      </c>
      <c r="C16" s="33">
        <v>20</v>
      </c>
      <c r="D16" s="34">
        <v>5</v>
      </c>
      <c r="E16" s="34">
        <v>5</v>
      </c>
      <c r="F16" s="35">
        <v>136</v>
      </c>
      <c r="G16" s="21">
        <v>1.4338235294117646E-2</v>
      </c>
      <c r="H16" s="22">
        <v>35.930882352941182</v>
      </c>
      <c r="I16" s="22">
        <v>9.6065099999999987E-3</v>
      </c>
      <c r="J16" s="22">
        <v>0.41870578999999991</v>
      </c>
      <c r="K16" s="23">
        <v>6.9524829709115067E-15</v>
      </c>
      <c r="L16" s="27">
        <v>1.0519104559057617E-16</v>
      </c>
      <c r="M16" s="30">
        <v>2.3229080000000003E-2</v>
      </c>
      <c r="N16" s="23">
        <v>3.2126450626075498E-13</v>
      </c>
      <c r="O16" s="27">
        <v>5.5791001250843847E-15</v>
      </c>
      <c r="P16" s="30">
        <v>0.23509158000000002</v>
      </c>
      <c r="Q16" s="23">
        <v>7.7787255922780856E-13</v>
      </c>
      <c r="R16" s="27">
        <v>4.0227697672686556E-15</v>
      </c>
    </row>
    <row r="17" spans="1:22" x14ac:dyDescent="0.3">
      <c r="A17" s="20">
        <v>2</v>
      </c>
      <c r="B17" s="20">
        <v>17</v>
      </c>
      <c r="C17" s="33">
        <v>20</v>
      </c>
      <c r="D17" s="34">
        <v>5</v>
      </c>
      <c r="E17" s="34">
        <v>5</v>
      </c>
      <c r="F17" s="35">
        <v>153</v>
      </c>
      <c r="G17" s="21">
        <v>1.4379084967320262E-2</v>
      </c>
      <c r="H17" s="22">
        <v>36.586928104575179</v>
      </c>
      <c r="I17" s="22">
        <v>1.0477994999999999E-2</v>
      </c>
      <c r="J17" s="22">
        <v>0.4737934949999999</v>
      </c>
      <c r="K17" s="23">
        <v>4.7457015638136598E-14</v>
      </c>
      <c r="L17" s="27">
        <v>1.0500785949504587E-16</v>
      </c>
      <c r="M17" s="30">
        <v>2.5294240000000003E-2</v>
      </c>
      <c r="N17" s="23">
        <v>1.305823344897213E-12</v>
      </c>
      <c r="O17" s="27">
        <v>3.8995412042061979E-14</v>
      </c>
      <c r="P17" s="30">
        <v>0.28696730000000004</v>
      </c>
      <c r="Q17" s="23">
        <v>1.0861419424893633E-11</v>
      </c>
      <c r="R17" s="27">
        <v>8.7552025679730782E-14</v>
      </c>
    </row>
    <row r="18" spans="1:22" x14ac:dyDescent="0.3">
      <c r="A18" s="20">
        <v>2</v>
      </c>
      <c r="B18" s="20">
        <v>18</v>
      </c>
      <c r="C18" s="33">
        <v>20</v>
      </c>
      <c r="D18" s="34">
        <v>5</v>
      </c>
      <c r="E18" s="34">
        <v>5</v>
      </c>
      <c r="F18" s="35">
        <v>171</v>
      </c>
      <c r="G18" s="21">
        <v>1.4035087719298246E-2</v>
      </c>
      <c r="H18" s="22">
        <v>37.657309941520467</v>
      </c>
      <c r="I18" s="22">
        <v>1.2134030000000001E-2</v>
      </c>
      <c r="J18" s="22">
        <v>0.52304658500000012</v>
      </c>
      <c r="K18" s="23">
        <v>3.9985903938676434E-14</v>
      </c>
      <c r="L18" s="27">
        <v>1.0616823006634725E-16</v>
      </c>
      <c r="M18" s="30">
        <v>3.1552719999999999E-2</v>
      </c>
      <c r="N18" s="23">
        <v>1.88399300225492E-11</v>
      </c>
      <c r="O18" s="27">
        <v>1.3157630750565087E-13</v>
      </c>
      <c r="P18" s="30">
        <v>0.3514177</v>
      </c>
      <c r="Q18" s="23">
        <v>8.6120386421809773E-12</v>
      </c>
      <c r="R18" s="27">
        <v>4.5350729665076063E-14</v>
      </c>
    </row>
    <row r="19" spans="1:22" x14ac:dyDescent="0.3">
      <c r="A19" s="20">
        <v>2</v>
      </c>
      <c r="B19" s="20">
        <v>19</v>
      </c>
      <c r="C19" s="33">
        <v>20</v>
      </c>
      <c r="D19" s="34">
        <v>5</v>
      </c>
      <c r="E19" s="34">
        <v>5</v>
      </c>
      <c r="F19" s="35">
        <v>190</v>
      </c>
      <c r="G19" s="21">
        <v>1.2105263157894735E-2</v>
      </c>
      <c r="H19" s="22">
        <v>38.788157894736841</v>
      </c>
      <c r="I19" s="22">
        <v>1.2900415000000002E-2</v>
      </c>
      <c r="J19" s="22">
        <v>0.58412838499999997</v>
      </c>
      <c r="K19" s="23">
        <v>1.6340526627852346E-14</v>
      </c>
      <c r="L19" s="27">
        <v>1.0768966235382596E-16</v>
      </c>
      <c r="M19" s="30">
        <v>3.531658E-2</v>
      </c>
      <c r="N19" s="23">
        <v>1.387625852205683E-12</v>
      </c>
      <c r="O19" s="27">
        <v>1.0777578619146575E-14</v>
      </c>
      <c r="P19" s="30">
        <v>0.44063508000000001</v>
      </c>
      <c r="Q19" s="23">
        <v>1.02731710000628E-11</v>
      </c>
      <c r="R19" s="27">
        <v>1.7931018418150177E-14</v>
      </c>
    </row>
    <row r="20" spans="1:22" x14ac:dyDescent="0.3">
      <c r="A20" s="20">
        <v>2</v>
      </c>
      <c r="B20" s="20">
        <v>20</v>
      </c>
      <c r="C20" s="33">
        <v>20</v>
      </c>
      <c r="D20" s="34">
        <v>5</v>
      </c>
      <c r="E20" s="34">
        <v>5</v>
      </c>
      <c r="F20" s="35">
        <v>210</v>
      </c>
      <c r="G20" s="59">
        <v>1.7142857142857144E-2</v>
      </c>
      <c r="H20" s="60">
        <v>40.341904761904757</v>
      </c>
      <c r="I20" s="60">
        <v>1.4739435000000004E-2</v>
      </c>
      <c r="J20" s="60">
        <v>0.69107876499999998</v>
      </c>
      <c r="K20" s="61">
        <v>2.7392339443222676E-14</v>
      </c>
      <c r="L20" s="62">
        <v>1.0857447766926479E-16</v>
      </c>
      <c r="M20" s="30">
        <v>4.0417000000000002E-2</v>
      </c>
      <c r="N20" s="23">
        <v>1.1200000000000001E-12</v>
      </c>
      <c r="O20" s="27">
        <v>3.4911493383872808E-14</v>
      </c>
      <c r="P20" s="30">
        <v>0.54500000000000004</v>
      </c>
      <c r="Q20" s="23">
        <v>4.1966872892477991E-10</v>
      </c>
      <c r="R20" s="27">
        <v>3.7378083601096163E-13</v>
      </c>
    </row>
    <row r="21" spans="1:22" x14ac:dyDescent="0.3">
      <c r="A21" s="20">
        <v>2</v>
      </c>
      <c r="B21" s="20">
        <v>21</v>
      </c>
      <c r="C21" s="33">
        <v>20</v>
      </c>
      <c r="D21" s="34">
        <v>0</v>
      </c>
      <c r="E21" s="34">
        <v>0</v>
      </c>
      <c r="F21" s="35">
        <v>231</v>
      </c>
      <c r="G21" s="59">
        <v>1.6883116883116882E-2</v>
      </c>
      <c r="H21" s="60">
        <v>41.462554112554109</v>
      </c>
      <c r="I21" s="60">
        <v>1.5864969999999999E-2</v>
      </c>
      <c r="J21" s="60">
        <v>0.79010034500000004</v>
      </c>
      <c r="K21" s="61">
        <v>2.8778156041185635E-14</v>
      </c>
      <c r="L21" s="62">
        <v>1.0878871946916689E-16</v>
      </c>
      <c r="M21" s="30">
        <v>5.5109740000000004E-2</v>
      </c>
      <c r="N21" s="23">
        <v>7.9740981788206568E-11</v>
      </c>
      <c r="O21" s="27">
        <v>6.4853454550477647E-14</v>
      </c>
      <c r="P21" s="30">
        <v>0.71308311999999996</v>
      </c>
      <c r="Q21" s="23">
        <v>2.8625818973614944E-11</v>
      </c>
      <c r="R21" s="27">
        <v>4.6699618554977332E-13</v>
      </c>
    </row>
    <row r="22" spans="1:22" x14ac:dyDescent="0.3">
      <c r="A22" s="20">
        <v>2</v>
      </c>
      <c r="B22" s="20">
        <v>22</v>
      </c>
      <c r="C22" s="33">
        <v>20</v>
      </c>
      <c r="D22" s="34">
        <v>0</v>
      </c>
      <c r="E22" s="34">
        <v>0</v>
      </c>
      <c r="F22" s="35">
        <v>253</v>
      </c>
      <c r="G22" s="59">
        <v>1.6996047430830039E-2</v>
      </c>
      <c r="H22" s="60">
        <v>42.713043478260872</v>
      </c>
      <c r="I22" s="60">
        <v>1.7344240000000004E-2</v>
      </c>
      <c r="J22" s="60">
        <v>0.9149621950000002</v>
      </c>
      <c r="K22" s="61">
        <v>3.3281802461311868E-14</v>
      </c>
      <c r="L22" s="62">
        <v>1.0944128676858523E-16</v>
      </c>
      <c r="M22" s="30">
        <v>5.9378299999999995E-2</v>
      </c>
      <c r="N22" s="23">
        <v>2.4950878946075825E-12</v>
      </c>
      <c r="O22" s="27">
        <v>4.3268343046208029E-14</v>
      </c>
      <c r="P22" s="30">
        <v>0.89569849999999995</v>
      </c>
      <c r="Q22" s="23">
        <v>9.0761958140138973E-11</v>
      </c>
      <c r="R22" s="27">
        <v>1.2234113210397602E-13</v>
      </c>
    </row>
    <row r="23" spans="1:22" x14ac:dyDescent="0.3">
      <c r="A23" s="20">
        <v>2</v>
      </c>
      <c r="B23" s="20">
        <v>23</v>
      </c>
      <c r="C23" s="33">
        <v>20</v>
      </c>
      <c r="D23" s="34">
        <v>0</v>
      </c>
      <c r="E23" s="34">
        <v>0</v>
      </c>
      <c r="F23" s="35">
        <v>276</v>
      </c>
      <c r="G23" s="59">
        <v>2.2463768115942029E-2</v>
      </c>
      <c r="H23" s="60">
        <v>44.563768115942032</v>
      </c>
      <c r="I23" s="60">
        <v>1.8125044999999999E-2</v>
      </c>
      <c r="J23" s="60">
        <v>1.0752771999999997</v>
      </c>
      <c r="K23" s="61">
        <v>1.6152340165538887E-14</v>
      </c>
      <c r="L23" s="62">
        <v>1.1140951351500981E-16</v>
      </c>
      <c r="M23" s="30">
        <v>6.9736980000000018E-2</v>
      </c>
      <c r="N23" s="23">
        <v>3.3798490296266799E-12</v>
      </c>
      <c r="O23" s="27">
        <v>2.2567997276768743E-14</v>
      </c>
      <c r="P23" s="30">
        <v>1.08964112</v>
      </c>
      <c r="Q23" s="23">
        <v>7.9947604518685612E-11</v>
      </c>
      <c r="R23" s="27">
        <v>6.5073742330760481E-14</v>
      </c>
    </row>
    <row r="24" spans="1:22" x14ac:dyDescent="0.3">
      <c r="A24" s="20">
        <v>2</v>
      </c>
      <c r="B24" s="20">
        <v>24</v>
      </c>
      <c r="C24" s="33">
        <v>20</v>
      </c>
      <c r="D24" s="34">
        <v>0</v>
      </c>
      <c r="E24" s="34">
        <v>0</v>
      </c>
      <c r="F24" s="35">
        <v>300</v>
      </c>
      <c r="G24" s="59">
        <v>2.8833333333333336E-2</v>
      </c>
      <c r="H24" s="60">
        <v>46.669000000000004</v>
      </c>
      <c r="I24" s="60">
        <v>2.0395825000000003E-2</v>
      </c>
      <c r="J24" s="60">
        <v>1.2560447750000001</v>
      </c>
      <c r="K24" s="61">
        <v>4.1937345141823692E-14</v>
      </c>
      <c r="L24" s="62">
        <v>1.1265408644105274E-16</v>
      </c>
      <c r="M24" s="30">
        <v>7.5921020000000006E-2</v>
      </c>
      <c r="N24" s="23">
        <v>6.3810234861846552E-13</v>
      </c>
      <c r="O24" s="27">
        <v>2.9985303679134026E-14</v>
      </c>
      <c r="P24" s="30">
        <v>1.3699703200000002</v>
      </c>
      <c r="Q24" s="23">
        <v>1.4783434943932283E-10</v>
      </c>
      <c r="R24" s="27">
        <v>1.6485923791846004E-13</v>
      </c>
    </row>
    <row r="25" spans="1:22" x14ac:dyDescent="0.3">
      <c r="A25" s="20">
        <v>2</v>
      </c>
      <c r="B25" s="20">
        <v>25</v>
      </c>
      <c r="C25" s="33">
        <v>20</v>
      </c>
      <c r="D25" s="34">
        <v>5</v>
      </c>
      <c r="E25" s="34">
        <v>5</v>
      </c>
      <c r="F25" s="35">
        <v>325</v>
      </c>
      <c r="G25" s="59">
        <v>3.2615384615384616E-2</v>
      </c>
      <c r="H25" s="60">
        <v>47.982615384615386</v>
      </c>
      <c r="I25" s="60">
        <v>2.2346830000000005E-2</v>
      </c>
      <c r="J25" s="60">
        <v>1.4090005600000002</v>
      </c>
      <c r="K25" s="61">
        <v>4.8017049350330334E-14</v>
      </c>
      <c r="L25" s="62">
        <v>1.1261140175910624E-16</v>
      </c>
      <c r="M25" s="30">
        <v>9.1298459999999998E-2</v>
      </c>
      <c r="N25" s="23">
        <v>7.5994194279267295E-11</v>
      </c>
      <c r="O25" s="27">
        <v>3.0413158109300275E-14</v>
      </c>
      <c r="P25" s="30">
        <v>1.69150998</v>
      </c>
      <c r="Q25" s="23">
        <v>5.53101110345585E-9</v>
      </c>
      <c r="R25" s="27">
        <v>2.4340357086863738E-12</v>
      </c>
      <c r="S25" s="69">
        <v>7.2060000000000004</v>
      </c>
      <c r="T25" s="69">
        <v>2.1820200000000001E-2</v>
      </c>
      <c r="U25" s="67">
        <f>S25/J25</f>
        <v>5.1142634038413721</v>
      </c>
      <c r="V25" s="67">
        <f>(S25-T25)/(J25-I25)</f>
        <v>5.1809472289812399</v>
      </c>
    </row>
    <row r="26" spans="1:22" x14ac:dyDescent="0.3">
      <c r="A26" s="20">
        <v>2</v>
      </c>
      <c r="B26" s="20">
        <v>26</v>
      </c>
      <c r="C26" s="33">
        <v>20</v>
      </c>
      <c r="D26" s="34">
        <v>0</v>
      </c>
      <c r="E26" s="34">
        <v>0</v>
      </c>
      <c r="F26" s="35">
        <v>351</v>
      </c>
      <c r="G26" s="59">
        <v>2.6638176638176636E-2</v>
      </c>
      <c r="H26" s="60">
        <v>48.510113960113969</v>
      </c>
      <c r="I26" s="60">
        <v>2.3491724999999998E-2</v>
      </c>
      <c r="J26" s="60">
        <v>1.5488192250000004</v>
      </c>
      <c r="K26" s="61">
        <v>9.5474811052637423E-15</v>
      </c>
      <c r="L26" s="62">
        <v>1.1353206722203085E-16</v>
      </c>
      <c r="M26" s="30">
        <v>0.10076236000000001</v>
      </c>
      <c r="N26" s="23">
        <v>2.0462317230820029E-12</v>
      </c>
      <c r="O26" s="27">
        <v>6.40046168690359E-14</v>
      </c>
      <c r="P26" s="30">
        <v>1.98505942</v>
      </c>
      <c r="Q26" s="23">
        <v>7.6974029072808491E-10</v>
      </c>
      <c r="R26" s="27">
        <v>2.9724838784035458E-12</v>
      </c>
    </row>
    <row r="27" spans="1:22" x14ac:dyDescent="0.3">
      <c r="A27" s="20">
        <v>2</v>
      </c>
      <c r="B27" s="20">
        <v>27</v>
      </c>
      <c r="C27" s="33">
        <v>20</v>
      </c>
      <c r="D27" s="34">
        <v>0</v>
      </c>
      <c r="E27" s="34">
        <v>0</v>
      </c>
      <c r="F27" s="35">
        <v>378</v>
      </c>
      <c r="G27" s="59">
        <v>3.0555555555555558E-2</v>
      </c>
      <c r="H27" s="60">
        <v>49.616402116402114</v>
      </c>
      <c r="I27" s="60">
        <v>2.4796125000000002E-2</v>
      </c>
      <c r="J27" s="60">
        <v>1.75114831</v>
      </c>
      <c r="K27" s="61">
        <v>2.5778818783788179E-14</v>
      </c>
      <c r="L27" s="62">
        <v>1.1354055921293978E-16</v>
      </c>
      <c r="M27" s="30">
        <v>0.11699650000000002</v>
      </c>
      <c r="N27" s="23">
        <v>4.9162449927249842E-12</v>
      </c>
      <c r="O27" s="27">
        <v>1.0385703794005214E-13</v>
      </c>
      <c r="P27" s="30">
        <v>2.3568667400000001</v>
      </c>
      <c r="Q27" s="23">
        <v>1.3074976432641774E-9</v>
      </c>
      <c r="R27" s="27">
        <v>1.4202209278090491E-12</v>
      </c>
    </row>
    <row r="28" spans="1:22" x14ac:dyDescent="0.3">
      <c r="A28" s="20">
        <v>2</v>
      </c>
      <c r="B28" s="20">
        <v>28</v>
      </c>
      <c r="C28" s="33">
        <v>20</v>
      </c>
      <c r="D28" s="34">
        <v>0</v>
      </c>
      <c r="E28" s="34">
        <v>0</v>
      </c>
      <c r="F28" s="35">
        <v>406</v>
      </c>
      <c r="G28" s="59">
        <v>2.5738916256157634E-2</v>
      </c>
      <c r="H28" s="60">
        <v>50.393842364532027</v>
      </c>
      <c r="I28" s="60">
        <v>2.7020064999999999E-2</v>
      </c>
      <c r="J28" s="60">
        <v>1.942846665</v>
      </c>
      <c r="K28" s="61">
        <v>1.3761007491756398E-14</v>
      </c>
      <c r="L28" s="62">
        <v>1.1546506487495039E-16</v>
      </c>
      <c r="M28" s="30">
        <v>0.12802649999999999</v>
      </c>
      <c r="N28" s="23">
        <v>3.088154818614609E-12</v>
      </c>
      <c r="O28" s="27">
        <v>6.8980416845415417E-14</v>
      </c>
      <c r="P28" s="30">
        <v>2.9346414600000004</v>
      </c>
      <c r="Q28" s="23">
        <v>1.3600011080591707E-8</v>
      </c>
      <c r="R28" s="27">
        <v>1.1422870420980384E-12</v>
      </c>
    </row>
    <row r="29" spans="1:22" x14ac:dyDescent="0.3">
      <c r="A29" s="20">
        <v>2</v>
      </c>
      <c r="B29" s="20">
        <v>29</v>
      </c>
      <c r="C29" s="33">
        <v>20</v>
      </c>
      <c r="D29" s="34">
        <v>0</v>
      </c>
      <c r="E29" s="34">
        <v>0</v>
      </c>
      <c r="F29" s="35">
        <v>435</v>
      </c>
      <c r="G29" s="59">
        <v>3.1839080459770117E-2</v>
      </c>
      <c r="H29" s="60">
        <v>52.089195402298841</v>
      </c>
      <c r="I29" s="60">
        <v>2.9689365000000002E-2</v>
      </c>
      <c r="J29" s="60">
        <v>2.1799970800000001</v>
      </c>
      <c r="K29" s="61">
        <v>1.8979789579368411E-14</v>
      </c>
      <c r="L29" s="62">
        <v>1.1576647108819763E-16</v>
      </c>
      <c r="M29" s="30">
        <v>0.14873066000000001</v>
      </c>
      <c r="N29" s="23">
        <v>2.3711882808100392E-11</v>
      </c>
      <c r="O29" s="27">
        <v>5.6969147038049053E-13</v>
      </c>
      <c r="P29" s="30">
        <v>3.5538061999999995</v>
      </c>
      <c r="Q29" s="23">
        <v>4.507888172109429E-9</v>
      </c>
      <c r="R29" s="27">
        <v>1.9269365271593541E-12</v>
      </c>
    </row>
    <row r="30" spans="1:22" x14ac:dyDescent="0.3">
      <c r="A30" s="20">
        <v>2</v>
      </c>
      <c r="B30" s="20">
        <v>30</v>
      </c>
      <c r="C30" s="33">
        <v>20</v>
      </c>
      <c r="D30" s="34">
        <v>5</v>
      </c>
      <c r="E30" s="34">
        <v>5</v>
      </c>
      <c r="F30" s="35">
        <v>465</v>
      </c>
      <c r="G30" s="59">
        <v>2.7096774193548386E-2</v>
      </c>
      <c r="H30" s="60">
        <v>52.679677419354846</v>
      </c>
      <c r="I30" s="60">
        <v>3.0870744999999995E-2</v>
      </c>
      <c r="J30" s="60">
        <v>2.5384637550000004</v>
      </c>
      <c r="K30" s="61">
        <v>5.9839943010842651E-14</v>
      </c>
      <c r="L30" s="62">
        <v>1.1574397875685501E-16</v>
      </c>
      <c r="M30" s="30">
        <v>0.16683683999999999</v>
      </c>
      <c r="N30" s="23">
        <v>1.2760852276142066E-11</v>
      </c>
      <c r="O30" s="27">
        <v>1.7212804786027329E-13</v>
      </c>
      <c r="P30" s="30">
        <v>4.3275392200000002</v>
      </c>
      <c r="Q30" s="23">
        <v>3.7236157302194314E-9</v>
      </c>
      <c r="R30" s="27">
        <v>4.7186430279132278E-12</v>
      </c>
    </row>
    <row r="31" spans="1:22" x14ac:dyDescent="0.3">
      <c r="A31" s="20">
        <v>2</v>
      </c>
      <c r="B31" s="20">
        <v>35</v>
      </c>
      <c r="C31" s="33">
        <v>5</v>
      </c>
      <c r="D31" s="34">
        <v>5</v>
      </c>
      <c r="E31" s="34">
        <v>5</v>
      </c>
      <c r="F31" s="35">
        <v>630</v>
      </c>
      <c r="G31" s="21">
        <v>3.3650793650793646E-2</v>
      </c>
      <c r="H31" s="22">
        <v>57.499365079365077</v>
      </c>
      <c r="I31" s="22">
        <v>4.0244800000000004E-2</v>
      </c>
      <c r="J31" s="22">
        <v>4.17852026</v>
      </c>
      <c r="K31" s="23">
        <v>9.4920688551920749E-15</v>
      </c>
      <c r="L31" s="27">
        <v>1.2177334783233279E-16</v>
      </c>
      <c r="M31" s="30">
        <v>0.30069123999999997</v>
      </c>
      <c r="N31" s="23">
        <v>1.2189005919063563E-11</v>
      </c>
      <c r="O31" s="27">
        <v>3.3718018278637983E-13</v>
      </c>
      <c r="P31" s="30">
        <v>11.88986892</v>
      </c>
      <c r="Q31" s="23">
        <v>9.7486210503236369E-7</v>
      </c>
      <c r="R31" s="27">
        <v>3.4351269132525695E-10</v>
      </c>
    </row>
    <row r="32" spans="1:22" x14ac:dyDescent="0.3">
      <c r="A32" s="20">
        <v>2</v>
      </c>
      <c r="B32" s="20">
        <v>40</v>
      </c>
      <c r="C32" s="33">
        <v>5</v>
      </c>
      <c r="D32" s="34">
        <v>5</v>
      </c>
      <c r="E32" s="34">
        <v>5</v>
      </c>
      <c r="F32" s="35">
        <v>820</v>
      </c>
      <c r="G32" s="21">
        <v>3.3658536585365856E-2</v>
      </c>
      <c r="H32" s="22">
        <v>61.383414634146348</v>
      </c>
      <c r="I32" s="22">
        <v>5.0895939999999994E-2</v>
      </c>
      <c r="J32" s="22">
        <v>6.3664312000000001</v>
      </c>
      <c r="K32" s="23">
        <v>5.9873963495898767E-14</v>
      </c>
      <c r="L32" s="27">
        <v>1.2389222667373658E-16</v>
      </c>
      <c r="M32" s="30">
        <v>0.49568519999999994</v>
      </c>
      <c r="N32" s="23">
        <v>6.6726594835832865E-12</v>
      </c>
      <c r="O32" s="27">
        <v>2.4307371873422351E-13</v>
      </c>
      <c r="P32" s="30">
        <v>25.236473319999995</v>
      </c>
      <c r="Q32" s="23">
        <v>2.5521829325278364E-6</v>
      </c>
      <c r="R32" s="27">
        <v>4.6334124649263625E-9</v>
      </c>
    </row>
    <row r="33" spans="1:22" x14ac:dyDescent="0.3">
      <c r="A33" s="20">
        <v>2</v>
      </c>
      <c r="B33" s="20">
        <v>45</v>
      </c>
      <c r="C33" s="33">
        <v>5</v>
      </c>
      <c r="D33" s="34">
        <v>5</v>
      </c>
      <c r="E33" s="34">
        <v>3</v>
      </c>
      <c r="F33" s="35">
        <v>1035</v>
      </c>
      <c r="G33" s="21">
        <v>4.4057971014492756E-2</v>
      </c>
      <c r="H33" s="22">
        <v>67.037681159420302</v>
      </c>
      <c r="I33" s="22">
        <v>6.8991459999999991E-2</v>
      </c>
      <c r="J33" s="22">
        <v>9.8831791400000011</v>
      </c>
      <c r="K33" s="23">
        <v>6.4734862282219622E-14</v>
      </c>
      <c r="L33" s="27">
        <v>1.2788068478916227E-16</v>
      </c>
      <c r="M33" s="30">
        <v>0.80555524000000001</v>
      </c>
      <c r="N33" s="23">
        <v>2.076721277587362E-11</v>
      </c>
      <c r="O33" s="27">
        <v>2.301016174119857E-13</v>
      </c>
      <c r="P33" s="30">
        <v>56.544956366666668</v>
      </c>
      <c r="Q33" s="23">
        <v>1.6237119784741388E-5</v>
      </c>
      <c r="R33" s="27">
        <v>7.4246832903633801E-9</v>
      </c>
    </row>
    <row r="34" spans="1:22" x14ac:dyDescent="0.3">
      <c r="A34" s="20">
        <v>2</v>
      </c>
      <c r="B34" s="20">
        <v>50</v>
      </c>
      <c r="C34" s="33">
        <v>3</v>
      </c>
      <c r="D34" s="34">
        <v>3</v>
      </c>
      <c r="E34" s="34">
        <v>1</v>
      </c>
      <c r="F34" s="35">
        <v>1275</v>
      </c>
      <c r="G34" s="21">
        <v>5.0980392156862744E-2</v>
      </c>
      <c r="H34" s="22">
        <v>71.818300653594761</v>
      </c>
      <c r="I34" s="22">
        <v>9.1101500000000002E-2</v>
      </c>
      <c r="J34" s="22">
        <v>15.868211633333333</v>
      </c>
      <c r="K34" s="23">
        <v>3.2304592674180124E-14</v>
      </c>
      <c r="L34" s="27">
        <v>1.3183193442487803E-16</v>
      </c>
      <c r="M34" s="30">
        <v>1.3144702333333333</v>
      </c>
      <c r="N34" s="23">
        <v>3.3031361575092427E-11</v>
      </c>
      <c r="O34" s="27">
        <v>2.7036605746607014E-13</v>
      </c>
      <c r="P34" s="30">
        <v>120.1139774</v>
      </c>
      <c r="Q34" s="23">
        <v>1.5089058365986166E-2</v>
      </c>
      <c r="R34" s="27">
        <v>6.442172439304426E-7</v>
      </c>
      <c r="S34" s="69">
        <v>104.61</v>
      </c>
      <c r="T34" s="69">
        <v>0.119522</v>
      </c>
      <c r="U34" s="67">
        <f>S34/J34</f>
        <v>6.5924253102506203</v>
      </c>
      <c r="V34" s="67">
        <f>(S34-T34)/(J34-I34)</f>
        <v>6.6229161815405044</v>
      </c>
    </row>
    <row r="35" spans="1:22" x14ac:dyDescent="0.3">
      <c r="A35" s="20">
        <v>2</v>
      </c>
      <c r="B35" s="20">
        <v>60</v>
      </c>
      <c r="C35" s="33">
        <v>3</v>
      </c>
      <c r="D35" s="34">
        <v>3</v>
      </c>
      <c r="E35" s="34">
        <v>1</v>
      </c>
      <c r="F35" s="35">
        <v>1830</v>
      </c>
      <c r="G35" s="21">
        <v>3.9344262295081971E-2</v>
      </c>
      <c r="H35" s="22">
        <v>77.313661202185799</v>
      </c>
      <c r="I35" s="22">
        <v>0.1308067</v>
      </c>
      <c r="J35" s="22">
        <v>31.2651982</v>
      </c>
      <c r="K35" s="23">
        <v>3.8892216422202066E-15</v>
      </c>
      <c r="L35" s="27">
        <v>1.381700791554997E-16</v>
      </c>
      <c r="M35" s="30">
        <v>2.800247933333333</v>
      </c>
      <c r="N35" s="23">
        <v>5.6030757712149623E-11</v>
      </c>
      <c r="O35" s="27">
        <v>7.0682299061817911E-13</v>
      </c>
      <c r="P35" s="30">
        <v>441.87783530000002</v>
      </c>
      <c r="Q35" s="23">
        <v>2.3022190582046527E-2</v>
      </c>
      <c r="R35" s="27">
        <v>1.0073677694000527E-4</v>
      </c>
    </row>
    <row r="36" spans="1:22" x14ac:dyDescent="0.3">
      <c r="A36" s="20">
        <v>2</v>
      </c>
      <c r="B36" s="20">
        <v>70</v>
      </c>
      <c r="C36" s="33">
        <v>3</v>
      </c>
      <c r="D36" s="34">
        <v>3</v>
      </c>
      <c r="E36" s="34">
        <v>0</v>
      </c>
      <c r="F36" s="35">
        <v>2485</v>
      </c>
      <c r="G36" s="21">
        <v>4.1448692152917507E-2</v>
      </c>
      <c r="H36" s="22">
        <v>82.989134808853123</v>
      </c>
      <c r="I36" s="22">
        <v>0.2229844</v>
      </c>
      <c r="J36" s="22">
        <v>55.996203399999999</v>
      </c>
      <c r="K36" s="23">
        <v>5.6646440431938585E-15</v>
      </c>
      <c r="L36" s="27">
        <v>1.4537046240614609E-16</v>
      </c>
      <c r="M36" s="30">
        <v>6.2341727999999996</v>
      </c>
      <c r="N36" s="23">
        <v>7.9930964307806627E-11</v>
      </c>
      <c r="O36" s="27">
        <v>7.5484298404695862E-13</v>
      </c>
      <c r="P36" s="30">
        <v>0</v>
      </c>
      <c r="Q36" s="23"/>
      <c r="R36" s="27"/>
    </row>
    <row r="37" spans="1:22" x14ac:dyDescent="0.3">
      <c r="A37" s="20">
        <v>2</v>
      </c>
      <c r="B37" s="20">
        <v>80</v>
      </c>
      <c r="C37" s="33">
        <v>1</v>
      </c>
      <c r="D37" s="34">
        <v>3</v>
      </c>
      <c r="E37" s="34">
        <v>0</v>
      </c>
      <c r="F37" s="35">
        <v>3240</v>
      </c>
      <c r="G37" s="21">
        <v>7.098765432098765E-2</v>
      </c>
      <c r="H37" s="22">
        <v>100.51018518518518</v>
      </c>
      <c r="I37" s="22">
        <v>0.33151960000000003</v>
      </c>
      <c r="J37" s="22">
        <v>110.90585229999999</v>
      </c>
      <c r="K37" s="23">
        <v>3.8677091728740458E-13</v>
      </c>
      <c r="L37" s="27">
        <v>1.5410995223273906E-16</v>
      </c>
      <c r="M37" s="30">
        <v>12.487203200000002</v>
      </c>
      <c r="N37" s="23">
        <v>7.9608977464262015E-10</v>
      </c>
      <c r="O37" s="27">
        <v>1.6962448706383831E-12</v>
      </c>
      <c r="P37" s="30">
        <v>0</v>
      </c>
      <c r="Q37" s="23"/>
      <c r="R37" s="27"/>
    </row>
    <row r="38" spans="1:22" x14ac:dyDescent="0.3">
      <c r="A38" s="20">
        <v>2</v>
      </c>
      <c r="B38" s="20">
        <v>90</v>
      </c>
      <c r="C38" s="33">
        <v>1</v>
      </c>
      <c r="D38" s="34">
        <v>3</v>
      </c>
      <c r="E38" s="34">
        <v>0</v>
      </c>
      <c r="F38" s="35">
        <v>4095</v>
      </c>
      <c r="G38" s="21">
        <v>7.0818070818070816E-2</v>
      </c>
      <c r="H38" s="22">
        <v>104.26202686202686</v>
      </c>
      <c r="I38" s="22">
        <v>0.41936560000000001</v>
      </c>
      <c r="J38" s="22">
        <v>168.2752265</v>
      </c>
      <c r="K38" s="23">
        <v>3.1471110156093829E-13</v>
      </c>
      <c r="L38" s="27">
        <v>1.5969692082746394E-16</v>
      </c>
      <c r="M38" s="30">
        <v>23.887301400000002</v>
      </c>
      <c r="N38" s="23">
        <v>2.794476299092772E-10</v>
      </c>
      <c r="O38" s="27">
        <v>1.4937016315901907E-12</v>
      </c>
      <c r="P38" s="30">
        <v>0</v>
      </c>
      <c r="Q38" s="23"/>
      <c r="R38" s="27"/>
    </row>
    <row r="39" spans="1:22" x14ac:dyDescent="0.3">
      <c r="A39" s="20">
        <v>2</v>
      </c>
      <c r="B39" s="20">
        <v>100</v>
      </c>
      <c r="C39" s="33">
        <v>1</v>
      </c>
      <c r="D39" s="34">
        <v>3</v>
      </c>
      <c r="E39" s="34">
        <v>0</v>
      </c>
      <c r="F39" s="35">
        <v>5050</v>
      </c>
      <c r="G39" s="59">
        <v>6.8316831683168322E-2</v>
      </c>
      <c r="H39" s="60">
        <v>109.89940594059406</v>
      </c>
      <c r="I39" s="60">
        <v>0.62602760000000002</v>
      </c>
      <c r="J39" s="60">
        <v>282.60610249999996</v>
      </c>
      <c r="K39" s="61">
        <v>3.2560848751661369E-13</v>
      </c>
      <c r="L39" s="62">
        <v>1.6453689389224409E-16</v>
      </c>
      <c r="M39" s="30">
        <v>40.637031233333332</v>
      </c>
      <c r="N39" s="23">
        <v>8.8300987026520473E-10</v>
      </c>
      <c r="O39" s="27">
        <v>1.6800216636153148E-12</v>
      </c>
      <c r="P39" s="30">
        <v>0</v>
      </c>
      <c r="Q39" s="23"/>
      <c r="R39" s="27"/>
    </row>
    <row r="40" spans="1:22" x14ac:dyDescent="0.3">
      <c r="A40" s="20">
        <v>2</v>
      </c>
      <c r="B40" s="20">
        <v>150</v>
      </c>
      <c r="C40" s="33">
        <v>1</v>
      </c>
      <c r="D40" s="34">
        <v>1</v>
      </c>
      <c r="E40" s="34">
        <v>0</v>
      </c>
      <c r="F40" s="35">
        <v>11325</v>
      </c>
      <c r="G40" s="59">
        <v>8.4503311258278146E-2</v>
      </c>
      <c r="H40" s="60">
        <v>151.5119646799117</v>
      </c>
      <c r="I40" s="60">
        <v>1.6805964</v>
      </c>
      <c r="J40" s="60">
        <v>2115.6538992000001</v>
      </c>
      <c r="K40" s="61">
        <v>1.5338465174447838E-13</v>
      </c>
      <c r="L40" s="62">
        <v>1.9184618820497844E-16</v>
      </c>
      <c r="M40" s="30">
        <v>381.6920283</v>
      </c>
      <c r="N40" s="23">
        <v>2.7973779342205435E-8</v>
      </c>
      <c r="O40" s="27">
        <v>7.6500746788843798E-12</v>
      </c>
      <c r="P40" s="30">
        <v>0</v>
      </c>
      <c r="Q40" s="23"/>
      <c r="R40" s="27"/>
    </row>
    <row r="41" spans="1:22" x14ac:dyDescent="0.3">
      <c r="A41" s="12">
        <v>3</v>
      </c>
      <c r="B41" s="12">
        <v>2</v>
      </c>
      <c r="C41" s="36">
        <v>20</v>
      </c>
      <c r="D41" s="16">
        <v>20</v>
      </c>
      <c r="E41" s="16">
        <v>20</v>
      </c>
      <c r="F41" s="37">
        <v>4</v>
      </c>
      <c r="G41" s="25">
        <v>0</v>
      </c>
      <c r="H41" s="26">
        <v>19.875</v>
      </c>
      <c r="I41" s="26">
        <v>2.3421150000000001E-3</v>
      </c>
      <c r="J41" s="26">
        <v>2.5156580000000001E-2</v>
      </c>
      <c r="K41" s="19">
        <v>1.7590317955905083E-15</v>
      </c>
      <c r="L41" s="29">
        <v>1.4359751717977171E-16</v>
      </c>
      <c r="M41" s="31">
        <v>1.9401849999999999E-3</v>
      </c>
      <c r="N41" s="19">
        <v>1.6313071922634693E-15</v>
      </c>
      <c r="O41" s="29">
        <v>8.0398623026804918E-16</v>
      </c>
      <c r="P41" s="31">
        <v>6.1565600000000002E-3</v>
      </c>
      <c r="Q41" s="19">
        <v>7.9641311958246879E-15</v>
      </c>
      <c r="R41" s="29">
        <v>6.6044462663449849E-16</v>
      </c>
    </row>
    <row r="42" spans="1:22" x14ac:dyDescent="0.3">
      <c r="A42" s="12">
        <v>3</v>
      </c>
      <c r="B42" s="12">
        <v>3</v>
      </c>
      <c r="C42" s="36">
        <v>20</v>
      </c>
      <c r="D42" s="16">
        <v>20</v>
      </c>
      <c r="E42" s="16">
        <v>20</v>
      </c>
      <c r="F42" s="37">
        <v>10</v>
      </c>
      <c r="G42" s="25">
        <v>0</v>
      </c>
      <c r="H42" s="26">
        <v>18.920000000000002</v>
      </c>
      <c r="I42" s="26">
        <v>1.5870300000000001E-3</v>
      </c>
      <c r="J42" s="26">
        <v>4.0466015000000008E-2</v>
      </c>
      <c r="K42" s="19">
        <v>2.2416634029586792E-15</v>
      </c>
      <c r="L42" s="29">
        <v>1.2413147067564898E-16</v>
      </c>
      <c r="M42" s="31">
        <v>3.6057249999999997E-3</v>
      </c>
      <c r="N42" s="19">
        <v>1.2591189396059271E-14</v>
      </c>
      <c r="O42" s="29">
        <v>1.4954654668736691E-15</v>
      </c>
      <c r="P42" s="31">
        <v>1.2476790000000003E-2</v>
      </c>
      <c r="Q42" s="19">
        <v>2.0010800226569522E-14</v>
      </c>
      <c r="R42" s="29">
        <v>1.3016753449785429E-15</v>
      </c>
    </row>
    <row r="43" spans="1:22" x14ac:dyDescent="0.3">
      <c r="A43" s="12">
        <v>3</v>
      </c>
      <c r="B43" s="12">
        <v>4</v>
      </c>
      <c r="C43" s="36">
        <v>20</v>
      </c>
      <c r="D43" s="16">
        <v>20</v>
      </c>
      <c r="E43" s="16">
        <v>20</v>
      </c>
      <c r="F43" s="37">
        <v>20</v>
      </c>
      <c r="G43" s="25">
        <v>1.4999999999999999E-2</v>
      </c>
      <c r="H43" s="26">
        <v>20.669999999999998</v>
      </c>
      <c r="I43" s="26">
        <v>2.6409900000000002E-3</v>
      </c>
      <c r="J43" s="26">
        <v>6.4804409999999993E-2</v>
      </c>
      <c r="K43" s="19">
        <v>3.0370768147202678E-15</v>
      </c>
      <c r="L43" s="29">
        <v>1.1060085603168663E-16</v>
      </c>
      <c r="M43" s="31">
        <v>5.6873749999999997E-3</v>
      </c>
      <c r="N43" s="19">
        <v>3.9478022364391666E-14</v>
      </c>
      <c r="O43" s="29">
        <v>3.9681275243151036E-15</v>
      </c>
      <c r="P43" s="31">
        <v>1.6744370000000001E-2</v>
      </c>
      <c r="Q43" s="19">
        <v>4.4152024178757618E-14</v>
      </c>
      <c r="R43" s="29">
        <v>1.6939215566782756E-15</v>
      </c>
    </row>
    <row r="44" spans="1:22" x14ac:dyDescent="0.3">
      <c r="A44" s="12">
        <v>3</v>
      </c>
      <c r="B44" s="12">
        <v>5</v>
      </c>
      <c r="C44" s="36">
        <v>20</v>
      </c>
      <c r="D44" s="16">
        <v>20</v>
      </c>
      <c r="E44" s="16">
        <v>20</v>
      </c>
      <c r="F44" s="37">
        <v>35</v>
      </c>
      <c r="G44" s="25">
        <v>8.5714285714285719E-3</v>
      </c>
      <c r="H44" s="26">
        <v>21.511428571428571</v>
      </c>
      <c r="I44" s="26">
        <v>4.4745999999999996E-3</v>
      </c>
      <c r="J44" s="26">
        <v>8.5524635000000016E-2</v>
      </c>
      <c r="K44" s="19">
        <v>2.910756363600462E-15</v>
      </c>
      <c r="L44" s="29">
        <v>1.1024479720834339E-16</v>
      </c>
      <c r="M44" s="31">
        <v>1.0133079999999999E-2</v>
      </c>
      <c r="N44" s="19">
        <v>8.5025053089271923E-14</v>
      </c>
      <c r="O44" s="29">
        <v>2.2870924329102808E-15</v>
      </c>
      <c r="P44" s="31">
        <v>3.1479565000000001E-2</v>
      </c>
      <c r="Q44" s="19">
        <v>2.1947280699205179E-14</v>
      </c>
      <c r="R44" s="29">
        <v>1.4442483163689786E-15</v>
      </c>
    </row>
    <row r="45" spans="1:22" x14ac:dyDescent="0.3">
      <c r="A45" s="12">
        <v>3</v>
      </c>
      <c r="B45" s="12">
        <v>6</v>
      </c>
      <c r="C45" s="36">
        <v>20</v>
      </c>
      <c r="D45" s="16">
        <v>20</v>
      </c>
      <c r="E45" s="16">
        <v>20</v>
      </c>
      <c r="F45" s="37">
        <v>56</v>
      </c>
      <c r="G45" s="25">
        <v>1.0714285714285714E-2</v>
      </c>
      <c r="H45" s="26">
        <v>23.303571428571423</v>
      </c>
      <c r="I45" s="26">
        <v>6.31461E-3</v>
      </c>
      <c r="J45" s="26">
        <v>0.11641928500000001</v>
      </c>
      <c r="K45" s="19">
        <v>3.6137746712829608E-14</v>
      </c>
      <c r="L45" s="29">
        <v>1.0689983468947442E-16</v>
      </c>
      <c r="M45" s="31">
        <v>1.5546505000000002E-2</v>
      </c>
      <c r="N45" s="19">
        <v>3.2889679084570924E-12</v>
      </c>
      <c r="O45" s="29">
        <v>1.7762264364453809E-14</v>
      </c>
      <c r="P45" s="31">
        <v>4.8456570000000004E-2</v>
      </c>
      <c r="Q45" s="19">
        <v>3.8705393589258047E-13</v>
      </c>
      <c r="R45" s="29">
        <v>3.7120339541155763E-15</v>
      </c>
    </row>
    <row r="46" spans="1:22" x14ac:dyDescent="0.3">
      <c r="A46" s="12">
        <v>3</v>
      </c>
      <c r="B46" s="12">
        <v>7</v>
      </c>
      <c r="C46" s="36">
        <v>20</v>
      </c>
      <c r="D46" s="16">
        <v>20</v>
      </c>
      <c r="E46" s="16">
        <v>20</v>
      </c>
      <c r="F46" s="37">
        <v>84</v>
      </c>
      <c r="G46" s="25">
        <v>1.1904761904761904E-2</v>
      </c>
      <c r="H46" s="26">
        <v>25.141666666666662</v>
      </c>
      <c r="I46" s="26">
        <v>9.9704849999999994E-3</v>
      </c>
      <c r="J46" s="26">
        <v>0.18086283000000003</v>
      </c>
      <c r="K46" s="19">
        <v>1.2485429742509005E-14</v>
      </c>
      <c r="L46" s="29">
        <v>1.0730826365935549E-16</v>
      </c>
      <c r="M46" s="31">
        <v>2.3653085000000001E-2</v>
      </c>
      <c r="N46" s="19">
        <v>4.0624410098969902E-13</v>
      </c>
      <c r="O46" s="29">
        <v>1.5021004571211743E-14</v>
      </c>
      <c r="P46" s="31">
        <v>8.4860699999999983E-2</v>
      </c>
      <c r="Q46" s="19">
        <v>6.6900207799340517E-14</v>
      </c>
      <c r="R46" s="29">
        <v>2.5311975964215702E-15</v>
      </c>
    </row>
    <row r="47" spans="1:22" x14ac:dyDescent="0.3">
      <c r="A47" s="12">
        <v>3</v>
      </c>
      <c r="B47" s="12">
        <v>8</v>
      </c>
      <c r="C47" s="36">
        <v>20</v>
      </c>
      <c r="D47" s="16">
        <v>20</v>
      </c>
      <c r="E47" s="16">
        <v>20</v>
      </c>
      <c r="F47" s="37">
        <v>120</v>
      </c>
      <c r="G47" s="25">
        <v>0.01</v>
      </c>
      <c r="H47" s="26">
        <v>26.921249999999997</v>
      </c>
      <c r="I47" s="26">
        <v>1.2709695000000002E-2</v>
      </c>
      <c r="J47" s="26">
        <v>0.24312836999999998</v>
      </c>
      <c r="K47" s="19">
        <v>2.2701282288638033E-14</v>
      </c>
      <c r="L47" s="29">
        <v>1.0617746438035777E-16</v>
      </c>
      <c r="M47" s="31">
        <v>3.4414294999999998E-2</v>
      </c>
      <c r="N47" s="19">
        <v>7.3644229341417129E-13</v>
      </c>
      <c r="O47" s="29">
        <v>2.8349787023685445E-14</v>
      </c>
      <c r="P47" s="31">
        <v>0.14180321499999998</v>
      </c>
      <c r="Q47" s="19">
        <v>9.3148338327557561E-13</v>
      </c>
      <c r="R47" s="29">
        <v>4.3865309428092218E-15</v>
      </c>
    </row>
    <row r="48" spans="1:22" x14ac:dyDescent="0.3">
      <c r="A48" s="12">
        <v>3</v>
      </c>
      <c r="B48" s="12">
        <v>9</v>
      </c>
      <c r="C48" s="36">
        <v>20</v>
      </c>
      <c r="D48" s="16">
        <v>20</v>
      </c>
      <c r="E48" s="16">
        <v>20</v>
      </c>
      <c r="F48" s="37">
        <v>165</v>
      </c>
      <c r="G48" s="25">
        <v>1.6969696969696968E-2</v>
      </c>
      <c r="H48" s="26">
        <v>28.760909090909088</v>
      </c>
      <c r="I48" s="26">
        <v>1.8585224999999997E-2</v>
      </c>
      <c r="J48" s="26">
        <v>0.35455610500000001</v>
      </c>
      <c r="K48" s="19">
        <v>8.0505106468104198E-15</v>
      </c>
      <c r="L48" s="29">
        <v>1.0840127854605948E-16</v>
      </c>
      <c r="M48" s="31">
        <v>5.074608500000001E-2</v>
      </c>
      <c r="N48" s="19">
        <v>5.3839017901252983E-12</v>
      </c>
      <c r="O48" s="29">
        <v>7.9957161634532797E-14</v>
      </c>
      <c r="P48" s="31">
        <v>0.24432508999999997</v>
      </c>
      <c r="Q48" s="19">
        <v>5.6434784426781034E-12</v>
      </c>
      <c r="R48" s="29">
        <v>1.7453365496978689E-14</v>
      </c>
    </row>
    <row r="49" spans="1:22" x14ac:dyDescent="0.3">
      <c r="A49" s="12">
        <v>3</v>
      </c>
      <c r="B49" s="12">
        <v>10</v>
      </c>
      <c r="C49" s="36">
        <v>20</v>
      </c>
      <c r="D49" s="16">
        <v>20</v>
      </c>
      <c r="E49" s="16">
        <v>20</v>
      </c>
      <c r="F49" s="37">
        <v>220</v>
      </c>
      <c r="G49" s="25">
        <v>2.0454545454545454E-2</v>
      </c>
      <c r="H49" s="26">
        <v>31.07090909090909</v>
      </c>
      <c r="I49" s="26">
        <v>2.3237874999999998E-2</v>
      </c>
      <c r="J49" s="26">
        <v>0.50099266499999984</v>
      </c>
      <c r="K49" s="19">
        <v>4.3532669413489904E-15</v>
      </c>
      <c r="L49" s="29">
        <v>1.0803222490211642E-16</v>
      </c>
      <c r="M49" s="31">
        <v>7.2403085000000006E-2</v>
      </c>
      <c r="N49" s="19">
        <v>7.8724253870948616E-12</v>
      </c>
      <c r="O49" s="29">
        <v>5.2052905053806672E-14</v>
      </c>
      <c r="P49" s="31">
        <v>0.43043426000000001</v>
      </c>
      <c r="Q49" s="19">
        <v>9.3358805828307702E-13</v>
      </c>
      <c r="R49" s="29">
        <v>6.2485623154199843E-15</v>
      </c>
    </row>
    <row r="50" spans="1:22" x14ac:dyDescent="0.3">
      <c r="A50" s="12">
        <v>3</v>
      </c>
      <c r="B50" s="12">
        <v>11</v>
      </c>
      <c r="C50" s="36">
        <v>5</v>
      </c>
      <c r="D50" s="16">
        <v>5</v>
      </c>
      <c r="E50" s="16">
        <v>5</v>
      </c>
      <c r="F50" s="37">
        <v>286</v>
      </c>
      <c r="G50" s="25">
        <v>1.9580419580419579E-2</v>
      </c>
      <c r="H50" s="26">
        <v>32.466433566433565</v>
      </c>
      <c r="I50" s="26">
        <v>3.0076479999999999E-2</v>
      </c>
      <c r="J50" s="26">
        <v>0.64965617999999992</v>
      </c>
      <c r="K50" s="19">
        <v>5.5318165304084287E-15</v>
      </c>
      <c r="L50" s="29">
        <v>1.0839363440172011E-16</v>
      </c>
      <c r="M50" s="31">
        <v>0.10487514000000001</v>
      </c>
      <c r="N50" s="19">
        <v>8.1285086878612543E-12</v>
      </c>
      <c r="O50" s="29">
        <v>8.7805575686182317E-14</v>
      </c>
      <c r="P50" s="31">
        <v>0.74409097999999996</v>
      </c>
      <c r="Q50" s="19">
        <v>2.3707805707745353E-12</v>
      </c>
      <c r="R50" s="29">
        <v>1.5510442256234427E-14</v>
      </c>
    </row>
    <row r="51" spans="1:22" x14ac:dyDescent="0.3">
      <c r="A51" s="12">
        <v>3</v>
      </c>
      <c r="B51" s="12">
        <v>12</v>
      </c>
      <c r="C51" s="36">
        <v>5</v>
      </c>
      <c r="D51" s="16">
        <v>5</v>
      </c>
      <c r="E51" s="16">
        <v>5</v>
      </c>
      <c r="F51" s="37">
        <v>364</v>
      </c>
      <c r="G51" s="25">
        <v>3.2967032967032968E-2</v>
      </c>
      <c r="H51" s="26">
        <v>36.325274725274724</v>
      </c>
      <c r="I51" s="26">
        <v>3.9777820000000005E-2</v>
      </c>
      <c r="J51" s="26">
        <v>0.85651955999999996</v>
      </c>
      <c r="K51" s="19">
        <v>4.9044620377337687E-15</v>
      </c>
      <c r="L51" s="29">
        <v>1.0868652454028221E-16</v>
      </c>
      <c r="M51" s="31">
        <v>0.14052732000000001</v>
      </c>
      <c r="N51" s="19">
        <v>2.2965127897774454E-12</v>
      </c>
      <c r="O51" s="29">
        <v>8.8734206826488817E-14</v>
      </c>
      <c r="P51" s="31">
        <v>1.3347532</v>
      </c>
      <c r="Q51" s="19">
        <v>6.0948071302886515E-12</v>
      </c>
      <c r="R51" s="29">
        <v>1.4730134171795829E-14</v>
      </c>
    </row>
    <row r="52" spans="1:22" x14ac:dyDescent="0.3">
      <c r="A52" s="12">
        <v>3</v>
      </c>
      <c r="B52" s="12">
        <v>13</v>
      </c>
      <c r="C52" s="36">
        <v>5</v>
      </c>
      <c r="D52" s="16">
        <v>5</v>
      </c>
      <c r="E52" s="16">
        <v>5</v>
      </c>
      <c r="F52" s="37">
        <v>455</v>
      </c>
      <c r="G52" s="25">
        <v>2.7252747252747254E-2</v>
      </c>
      <c r="H52" s="26">
        <v>37.519999999999996</v>
      </c>
      <c r="I52" s="26">
        <v>5.0065780000000004E-2</v>
      </c>
      <c r="J52" s="26">
        <v>1.1217998200000001</v>
      </c>
      <c r="K52" s="19">
        <v>1.8722212361204548E-13</v>
      </c>
      <c r="L52" s="29">
        <v>1.0971972341957951E-16</v>
      </c>
      <c r="M52" s="31">
        <v>0.20229919999999998</v>
      </c>
      <c r="N52" s="19">
        <v>2.2169199751778869E-11</v>
      </c>
      <c r="O52" s="29">
        <v>1.1422566785775922E-13</v>
      </c>
      <c r="P52" s="31">
        <v>2.5097099799999998</v>
      </c>
      <c r="Q52" s="19">
        <v>1.3660258133399918E-11</v>
      </c>
      <c r="R52" s="29">
        <v>1.942575056088023E-14</v>
      </c>
    </row>
    <row r="53" spans="1:22" x14ac:dyDescent="0.3">
      <c r="A53" s="12">
        <v>3</v>
      </c>
      <c r="B53" s="12">
        <v>14</v>
      </c>
      <c r="C53" s="36">
        <v>5</v>
      </c>
      <c r="D53" s="16">
        <v>5</v>
      </c>
      <c r="E53" s="16">
        <v>5</v>
      </c>
      <c r="F53" s="37">
        <v>560</v>
      </c>
      <c r="G53" s="25">
        <v>3.0714285714285711E-2</v>
      </c>
      <c r="H53" s="26">
        <v>39.363571428571426</v>
      </c>
      <c r="I53" s="26">
        <v>6.2795600000000007E-2</v>
      </c>
      <c r="J53" s="26">
        <v>1.4490373999999999</v>
      </c>
      <c r="K53" s="19">
        <v>2.3261163447349027E-14</v>
      </c>
      <c r="L53" s="29">
        <v>1.106842856133458E-16</v>
      </c>
      <c r="M53" s="31">
        <v>0.30381140000000001</v>
      </c>
      <c r="N53" s="19">
        <v>1.771255666819198E-11</v>
      </c>
      <c r="O53" s="29">
        <v>3.3993352507150423E-13</v>
      </c>
      <c r="P53" s="31">
        <v>4.7890324800000004</v>
      </c>
      <c r="Q53" s="19">
        <v>3.1172810118200388E-11</v>
      </c>
      <c r="R53" s="29">
        <v>7.0326428790844721E-14</v>
      </c>
    </row>
    <row r="54" spans="1:22" x14ac:dyDescent="0.3">
      <c r="A54" s="12">
        <v>3</v>
      </c>
      <c r="B54" s="12">
        <v>15</v>
      </c>
      <c r="C54" s="36">
        <v>5</v>
      </c>
      <c r="D54" s="16">
        <v>5</v>
      </c>
      <c r="E54" s="16">
        <v>5</v>
      </c>
      <c r="F54" s="37">
        <v>680</v>
      </c>
      <c r="G54" s="25">
        <v>3.8235294117647062E-2</v>
      </c>
      <c r="H54" s="26">
        <v>41.503529411764703</v>
      </c>
      <c r="I54" s="26">
        <v>7.3424239999999988E-2</v>
      </c>
      <c r="J54" s="26">
        <v>1.8809741200000001</v>
      </c>
      <c r="K54" s="19">
        <v>4.5958117797863951E-15</v>
      </c>
      <c r="L54" s="29">
        <v>1.115072807516643E-16</v>
      </c>
      <c r="M54" s="31">
        <v>0.39482010000000001</v>
      </c>
      <c r="N54" s="19">
        <v>1.2427103473990346E-10</v>
      </c>
      <c r="O54" s="29">
        <v>8.3252851349106803E-13</v>
      </c>
      <c r="P54" s="31">
        <v>9.3907163000000011</v>
      </c>
      <c r="Q54" s="19">
        <v>1.3758664298723373E-11</v>
      </c>
      <c r="R54" s="29">
        <v>5.9750780002089569E-14</v>
      </c>
    </row>
    <row r="55" spans="1:22" x14ac:dyDescent="0.3">
      <c r="A55" s="12">
        <v>3</v>
      </c>
      <c r="B55" s="12">
        <v>16</v>
      </c>
      <c r="C55" s="36">
        <v>5</v>
      </c>
      <c r="D55" s="16">
        <v>5</v>
      </c>
      <c r="E55" s="16">
        <v>5</v>
      </c>
      <c r="F55" s="37">
        <v>816</v>
      </c>
      <c r="G55" s="25">
        <v>4.4117647058823532E-2</v>
      </c>
      <c r="H55" s="26">
        <v>44.441421568627447</v>
      </c>
      <c r="I55" s="26">
        <v>9.0207780000000001E-2</v>
      </c>
      <c r="J55" s="26">
        <v>2.6914631600000001</v>
      </c>
      <c r="K55" s="19">
        <v>9.073751827443964E-14</v>
      </c>
      <c r="L55" s="29">
        <v>1.1271542848625927E-16</v>
      </c>
      <c r="M55" s="31">
        <v>0.54198486000000001</v>
      </c>
      <c r="N55" s="19">
        <v>1.6438457104678021E-10</v>
      </c>
      <c r="O55" s="29">
        <v>4.8344797750007481E-13</v>
      </c>
      <c r="P55" s="31">
        <v>17.428628279999998</v>
      </c>
      <c r="Q55" s="19">
        <v>6.1266711057327681E-11</v>
      </c>
      <c r="R55" s="29">
        <v>7.8842543563651667E-14</v>
      </c>
    </row>
    <row r="56" spans="1:22" x14ac:dyDescent="0.3">
      <c r="A56" s="12">
        <v>3</v>
      </c>
      <c r="B56" s="12">
        <v>17</v>
      </c>
      <c r="C56" s="36">
        <v>5</v>
      </c>
      <c r="D56" s="16">
        <v>5</v>
      </c>
      <c r="E56" s="16">
        <v>5</v>
      </c>
      <c r="F56" s="37">
        <v>969</v>
      </c>
      <c r="G56" s="25">
        <v>5.1805985552115588E-2</v>
      </c>
      <c r="H56" s="26">
        <v>46.909391124870993</v>
      </c>
      <c r="I56" s="26">
        <v>0.10606660000000001</v>
      </c>
      <c r="J56" s="26">
        <v>3.3767622600000005</v>
      </c>
      <c r="K56" s="19">
        <v>3.7948812987184378E-14</v>
      </c>
      <c r="L56" s="29">
        <v>1.1314365046236184E-16</v>
      </c>
      <c r="M56" s="31">
        <v>0.70671596000000003</v>
      </c>
      <c r="N56" s="19">
        <v>1.289771991816153E-9</v>
      </c>
      <c r="O56" s="29">
        <v>1.3710372319861467E-12</v>
      </c>
      <c r="P56" s="31">
        <v>29.616865960000002</v>
      </c>
      <c r="Q56" s="19">
        <v>4.7844095445713994E-10</v>
      </c>
      <c r="R56" s="29">
        <v>4.9900728133169959E-13</v>
      </c>
    </row>
    <row r="57" spans="1:22" x14ac:dyDescent="0.3">
      <c r="A57" s="12">
        <v>3</v>
      </c>
      <c r="B57" s="12">
        <v>18</v>
      </c>
      <c r="C57" s="36">
        <v>5</v>
      </c>
      <c r="D57" s="16">
        <v>5</v>
      </c>
      <c r="E57" s="16">
        <v>5</v>
      </c>
      <c r="F57" s="37">
        <v>1140</v>
      </c>
      <c r="G57" s="25">
        <v>5.3508771929824561E-2</v>
      </c>
      <c r="H57" s="26">
        <v>50.010877192982456</v>
      </c>
      <c r="I57" s="26">
        <v>0.13572754000000001</v>
      </c>
      <c r="J57" s="26">
        <v>4.3980127800000002</v>
      </c>
      <c r="K57" s="19">
        <v>3.1189355922691095E-14</v>
      </c>
      <c r="L57" s="29">
        <v>1.1426437872097752E-16</v>
      </c>
      <c r="M57" s="31">
        <v>0.92488938000000009</v>
      </c>
      <c r="N57" s="19">
        <v>1.2340639338327767E-10</v>
      </c>
      <c r="O57" s="29">
        <v>2.2903610612890744E-12</v>
      </c>
      <c r="P57" s="31">
        <v>52.638681640000001</v>
      </c>
      <c r="Q57" s="19">
        <v>2.2812452968252658E-9</v>
      </c>
      <c r="R57" s="29">
        <v>6.4074278166628339E-12</v>
      </c>
    </row>
    <row r="58" spans="1:22" x14ac:dyDescent="0.3">
      <c r="A58" s="12">
        <v>3</v>
      </c>
      <c r="B58" s="12">
        <v>19</v>
      </c>
      <c r="C58" s="36">
        <v>5</v>
      </c>
      <c r="D58" s="16">
        <v>5</v>
      </c>
      <c r="E58" s="16">
        <v>5</v>
      </c>
      <c r="F58" s="37">
        <v>1330</v>
      </c>
      <c r="G58" s="25">
        <v>5.0225563909774437E-2</v>
      </c>
      <c r="H58" s="26">
        <v>50.74977443609022</v>
      </c>
      <c r="I58" s="26">
        <v>0.14674185999999997</v>
      </c>
      <c r="J58" s="26">
        <v>5.2699050600000001</v>
      </c>
      <c r="K58" s="19">
        <v>9.8729791457307506E-14</v>
      </c>
      <c r="L58" s="29">
        <v>1.1408040038943511E-16</v>
      </c>
      <c r="M58" s="31">
        <v>1.2547853400000002</v>
      </c>
      <c r="N58" s="19">
        <v>3.3858767255298401E-10</v>
      </c>
      <c r="O58" s="29">
        <v>1.7870078506017307E-12</v>
      </c>
      <c r="P58" s="31">
        <v>86.423193600000019</v>
      </c>
      <c r="Q58" s="19">
        <v>4.5990508017812995E-9</v>
      </c>
      <c r="R58" s="29">
        <v>2.3707600027125359E-12</v>
      </c>
    </row>
    <row r="59" spans="1:22" x14ac:dyDescent="0.3">
      <c r="A59" s="12">
        <v>3</v>
      </c>
      <c r="B59" s="12">
        <v>20</v>
      </c>
      <c r="C59" s="36">
        <v>5</v>
      </c>
      <c r="D59" s="16">
        <v>5</v>
      </c>
      <c r="E59" s="16">
        <v>5</v>
      </c>
      <c r="F59" s="37">
        <v>1540</v>
      </c>
      <c r="G59" s="57">
        <v>5.9740259740259739E-2</v>
      </c>
      <c r="H59" s="58">
        <v>53.8774025974026</v>
      </c>
      <c r="I59" s="58">
        <v>0.17292921999999999</v>
      </c>
      <c r="J59" s="58">
        <v>6.5965324399999998</v>
      </c>
      <c r="K59" s="55">
        <v>2.1793281835964784E-13</v>
      </c>
      <c r="L59" s="56">
        <v>1.1468885479212613E-16</v>
      </c>
      <c r="M59" s="31">
        <v>1.6707743799999999</v>
      </c>
      <c r="N59" s="19">
        <v>2.3378735880721326E-10</v>
      </c>
      <c r="O59" s="29">
        <v>2.2213063616482082E-12</v>
      </c>
      <c r="P59" s="31">
        <v>111.10946747999999</v>
      </c>
      <c r="Q59" s="19">
        <v>8.0362268719193402E-9</v>
      </c>
      <c r="R59" s="29">
        <v>4.4571130327287062E-12</v>
      </c>
    </row>
    <row r="60" spans="1:22" x14ac:dyDescent="0.3">
      <c r="A60" s="12">
        <v>3</v>
      </c>
      <c r="B60" s="12">
        <v>21</v>
      </c>
      <c r="C60">
        <v>5</v>
      </c>
      <c r="D60">
        <v>0</v>
      </c>
      <c r="E60">
        <v>0</v>
      </c>
      <c r="F60" s="37">
        <v>1771</v>
      </c>
      <c r="G60" s="57">
        <v>6.0606060606060601E-2</v>
      </c>
      <c r="H60" s="58">
        <v>56.038584603802001</v>
      </c>
      <c r="I60" s="58">
        <v>0.20777886666666667</v>
      </c>
      <c r="J60" s="58">
        <v>8.1195292333333331</v>
      </c>
      <c r="K60" s="55">
        <v>1.3139619585956635E-13</v>
      </c>
      <c r="L60" s="56">
        <v>1.171858783500853E-16</v>
      </c>
      <c r="M60" s="31"/>
      <c r="O60" s="29"/>
      <c r="P60" s="31"/>
      <c r="R60" s="29"/>
    </row>
    <row r="61" spans="1:22" x14ac:dyDescent="0.3">
      <c r="A61" s="12">
        <v>3</v>
      </c>
      <c r="B61" s="12">
        <v>22</v>
      </c>
      <c r="C61">
        <v>5</v>
      </c>
      <c r="D61">
        <v>0</v>
      </c>
      <c r="E61">
        <v>0</v>
      </c>
      <c r="F61" s="37">
        <v>2024</v>
      </c>
      <c r="G61" s="57">
        <v>6.3899868247694336E-2</v>
      </c>
      <c r="H61" s="58">
        <v>57.802371541501977</v>
      </c>
      <c r="I61" s="58">
        <v>0.22991966666666666</v>
      </c>
      <c r="J61" s="58">
        <v>9.989284266666667</v>
      </c>
      <c r="K61" s="55">
        <v>1.1130333479064356E-13</v>
      </c>
      <c r="L61" s="56">
        <v>1.1649493666303677E-16</v>
      </c>
      <c r="M61" s="31"/>
      <c r="O61" s="29"/>
      <c r="P61" s="31"/>
      <c r="R61" s="29"/>
    </row>
    <row r="62" spans="1:22" x14ac:dyDescent="0.3">
      <c r="A62" s="12">
        <v>3</v>
      </c>
      <c r="B62" s="12">
        <v>23</v>
      </c>
      <c r="C62">
        <v>5</v>
      </c>
      <c r="D62">
        <v>0</v>
      </c>
      <c r="E62">
        <v>0</v>
      </c>
      <c r="F62" s="37">
        <v>2300</v>
      </c>
      <c r="G62" s="57">
        <v>6.7391304347826086E-2</v>
      </c>
      <c r="H62" s="58">
        <v>60.052898550724642</v>
      </c>
      <c r="I62" s="58">
        <v>0.27988303333333336</v>
      </c>
      <c r="J62" s="58">
        <v>12.581238600000001</v>
      </c>
      <c r="K62" s="55">
        <v>1.4281253678169888E-13</v>
      </c>
      <c r="L62" s="56">
        <v>1.1932747750634078E-16</v>
      </c>
      <c r="M62" s="31"/>
      <c r="O62" s="29"/>
      <c r="P62" s="31"/>
      <c r="R62" s="29"/>
    </row>
    <row r="63" spans="1:22" x14ac:dyDescent="0.3">
      <c r="A63" s="12">
        <v>3</v>
      </c>
      <c r="B63" s="12">
        <v>24</v>
      </c>
      <c r="C63" s="36">
        <v>5</v>
      </c>
      <c r="D63" s="16">
        <v>5</v>
      </c>
      <c r="E63" s="16">
        <v>1</v>
      </c>
      <c r="F63" s="37">
        <v>2600</v>
      </c>
      <c r="G63" s="57">
        <v>7.0512820512820512E-2</v>
      </c>
      <c r="H63" s="58">
        <v>61.918717948717948</v>
      </c>
      <c r="I63" s="58">
        <v>0.32866136666666668</v>
      </c>
      <c r="J63" s="58">
        <v>14.702419566666668</v>
      </c>
      <c r="K63" s="55">
        <v>2.0012565009545321E-14</v>
      </c>
      <c r="L63" s="56">
        <v>1.1695193361084058E-16</v>
      </c>
      <c r="M63" s="31"/>
      <c r="O63" s="29"/>
      <c r="P63" s="31"/>
      <c r="R63" s="29"/>
    </row>
    <row r="64" spans="1:22" x14ac:dyDescent="0.3">
      <c r="A64" s="12">
        <v>3</v>
      </c>
      <c r="B64" s="12">
        <v>25</v>
      </c>
      <c r="C64">
        <v>5</v>
      </c>
      <c r="D64">
        <v>0</v>
      </c>
      <c r="E64">
        <v>0</v>
      </c>
      <c r="F64" s="37">
        <v>2925</v>
      </c>
      <c r="G64" s="57">
        <v>7.4529914529914532E-2</v>
      </c>
      <c r="H64" s="58">
        <v>65.887863247863251</v>
      </c>
      <c r="I64" s="58">
        <v>0.35918383333333331</v>
      </c>
      <c r="J64" s="58">
        <v>18.113736433333333</v>
      </c>
      <c r="K64" s="55">
        <v>1.8137255770682601E-13</v>
      </c>
      <c r="L64" s="56">
        <v>1.2119584638053238E-16</v>
      </c>
      <c r="M64" s="31">
        <v>8.908031059999999</v>
      </c>
      <c r="N64" s="19">
        <v>2.9299749377879189E-9</v>
      </c>
      <c r="O64" s="29">
        <v>2.7982246185169971E-11</v>
      </c>
      <c r="P64" s="31">
        <v>679.60572200000001</v>
      </c>
      <c r="Q64" s="19">
        <v>4.7833860620029016E-7</v>
      </c>
      <c r="R64" s="29">
        <v>3.4739232563227599E-9</v>
      </c>
      <c r="S64" s="70">
        <v>109.9</v>
      </c>
      <c r="T64" s="70">
        <v>0.43365900000000002</v>
      </c>
      <c r="U64" s="67">
        <f>S64/J64</f>
        <v>6.0672186770786496</v>
      </c>
      <c r="V64" s="67">
        <f>(S64-T64)/(J64-I64)</f>
        <v>6.1655364382428877</v>
      </c>
    </row>
    <row r="65" spans="1:22" x14ac:dyDescent="0.3">
      <c r="A65" s="12">
        <v>3</v>
      </c>
      <c r="B65" s="12">
        <v>26</v>
      </c>
      <c r="C65">
        <v>5</v>
      </c>
      <c r="D65">
        <v>0</v>
      </c>
      <c r="E65">
        <v>0</v>
      </c>
      <c r="F65" s="37">
        <v>3276</v>
      </c>
      <c r="G65" s="57">
        <v>7.1225071225071226E-2</v>
      </c>
      <c r="H65" s="58">
        <v>66.481990231990224</v>
      </c>
      <c r="I65" s="58">
        <v>0.42810476666666669</v>
      </c>
      <c r="J65" s="58">
        <v>21.148166566666671</v>
      </c>
      <c r="K65" s="55">
        <v>1.7998114913827903E-13</v>
      </c>
      <c r="L65" s="56">
        <v>1.1940977734724117E-16</v>
      </c>
      <c r="M65" s="31"/>
      <c r="O65" s="29"/>
      <c r="P65" s="31"/>
      <c r="R65" s="29"/>
    </row>
    <row r="66" spans="1:22" x14ac:dyDescent="0.3">
      <c r="A66" s="12">
        <v>3</v>
      </c>
      <c r="B66" s="12">
        <v>27</v>
      </c>
      <c r="C66">
        <v>5</v>
      </c>
      <c r="D66">
        <v>0</v>
      </c>
      <c r="E66">
        <v>0</v>
      </c>
      <c r="F66" s="37">
        <v>3654</v>
      </c>
      <c r="G66" s="57">
        <v>7.7175697865353041E-2</v>
      </c>
      <c r="H66" s="58">
        <v>68.451468710089401</v>
      </c>
      <c r="I66" s="58">
        <v>0.46049063333333334</v>
      </c>
      <c r="J66" s="58">
        <v>24.842484366666667</v>
      </c>
      <c r="K66" s="55">
        <v>2.6113332015293676E-13</v>
      </c>
      <c r="L66" s="56">
        <v>1.1993259269597337E-16</v>
      </c>
      <c r="M66" s="31"/>
      <c r="O66" s="29"/>
      <c r="P66" s="31"/>
      <c r="R66" s="29"/>
    </row>
    <row r="67" spans="1:22" x14ac:dyDescent="0.3">
      <c r="A67" s="12">
        <v>3</v>
      </c>
      <c r="B67" s="12">
        <v>28</v>
      </c>
      <c r="C67">
        <v>5</v>
      </c>
      <c r="D67">
        <v>0</v>
      </c>
      <c r="E67">
        <v>0</v>
      </c>
      <c r="F67" s="37">
        <v>4060</v>
      </c>
      <c r="G67" s="57">
        <v>7.4876847290640397E-2</v>
      </c>
      <c r="H67" s="58">
        <v>70.274548440065686</v>
      </c>
      <c r="I67" s="58">
        <v>0.55710026666666668</v>
      </c>
      <c r="J67" s="58">
        <v>28.946058966666669</v>
      </c>
      <c r="K67" s="55">
        <v>3.1867505171696011E-13</v>
      </c>
      <c r="L67" s="56">
        <v>1.2128685257833857E-16</v>
      </c>
      <c r="M67" s="31"/>
      <c r="O67" s="29"/>
      <c r="P67" s="31"/>
      <c r="R67" s="29"/>
    </row>
    <row r="68" spans="1:22" x14ac:dyDescent="0.3">
      <c r="A68" s="12">
        <v>3</v>
      </c>
      <c r="B68" s="12">
        <v>29</v>
      </c>
      <c r="C68" s="36">
        <v>5</v>
      </c>
      <c r="D68" s="16">
        <v>5</v>
      </c>
      <c r="E68" s="16">
        <v>1</v>
      </c>
      <c r="F68" s="37">
        <v>4495</v>
      </c>
      <c r="G68" s="57">
        <v>8.4093437152391551E-2</v>
      </c>
      <c r="H68" s="58">
        <v>73.635150166852057</v>
      </c>
      <c r="I68" s="58">
        <v>0.71057219999999999</v>
      </c>
      <c r="J68" s="58">
        <v>35.305066600000004</v>
      </c>
      <c r="K68" s="55">
        <v>3.198353048055673E-13</v>
      </c>
      <c r="L68" s="56">
        <v>1.2161303731200556E-16</v>
      </c>
      <c r="M68" s="31"/>
      <c r="O68" s="29"/>
      <c r="P68" s="31"/>
      <c r="R68" s="29"/>
    </row>
    <row r="69" spans="1:22" x14ac:dyDescent="0.3">
      <c r="A69" s="12">
        <v>3</v>
      </c>
      <c r="B69" s="12">
        <v>30</v>
      </c>
      <c r="C69" s="36">
        <v>1</v>
      </c>
      <c r="D69" s="16">
        <v>1</v>
      </c>
      <c r="E69" s="16">
        <v>0</v>
      </c>
      <c r="F69" s="37">
        <v>4960</v>
      </c>
      <c r="G69" s="57">
        <v>8.1451612903225806E-2</v>
      </c>
      <c r="H69" s="58">
        <v>75.680846774193554</v>
      </c>
      <c r="I69" s="58">
        <v>0.89683080000000004</v>
      </c>
      <c r="J69" s="58">
        <v>42.129151199999995</v>
      </c>
      <c r="K69" s="55">
        <v>3.5962940669649715E-14</v>
      </c>
      <c r="L69" s="56">
        <v>1.2122310917559599E-16</v>
      </c>
      <c r="M69" s="31">
        <v>38.040107039999995</v>
      </c>
      <c r="N69" s="19">
        <v>6.5915591958598892E-10</v>
      </c>
      <c r="O69" s="29">
        <v>4.6858695130488111E-12</v>
      </c>
      <c r="P69" s="31">
        <v>3376.3754942</v>
      </c>
      <c r="Q69" s="19">
        <v>4.9247509758313121E-5</v>
      </c>
      <c r="R69" s="29">
        <v>1.8001816932431437E-9</v>
      </c>
    </row>
    <row r="70" spans="1:22" x14ac:dyDescent="0.3">
      <c r="A70" s="12">
        <v>3</v>
      </c>
      <c r="B70" s="12">
        <v>35</v>
      </c>
      <c r="C70" s="36">
        <v>1</v>
      </c>
      <c r="D70" s="16">
        <v>1</v>
      </c>
      <c r="E70" s="16">
        <v>0</v>
      </c>
      <c r="F70" s="37">
        <v>7770</v>
      </c>
      <c r="G70" s="57">
        <v>9.2406692406692401E-2</v>
      </c>
      <c r="H70" s="58">
        <v>86.462419562419569</v>
      </c>
      <c r="I70" s="58">
        <v>1.4917809</v>
      </c>
      <c r="J70" s="58">
        <v>95.136749099999989</v>
      </c>
      <c r="K70" s="55">
        <v>4.4357857712054773E-13</v>
      </c>
      <c r="L70" s="56">
        <v>1.2749142776101935E-16</v>
      </c>
      <c r="M70" s="31">
        <v>139.30000000000001</v>
      </c>
      <c r="N70" s="19">
        <v>2.1499999999999998E-9</v>
      </c>
      <c r="O70" s="29">
        <v>1.1100000000000001E-11</v>
      </c>
      <c r="P70" s="31"/>
      <c r="R70" s="29"/>
    </row>
    <row r="71" spans="1:22" x14ac:dyDescent="0.3">
      <c r="A71" s="12">
        <v>3</v>
      </c>
      <c r="B71" s="12">
        <v>40</v>
      </c>
      <c r="C71" s="36">
        <v>1</v>
      </c>
      <c r="D71" s="16">
        <v>1</v>
      </c>
      <c r="E71" s="16">
        <v>0</v>
      </c>
      <c r="F71" s="37">
        <v>11480</v>
      </c>
      <c r="G71" s="25">
        <v>0.10261324041811846</v>
      </c>
      <c r="H71" s="26">
        <v>97.029355400696858</v>
      </c>
      <c r="I71" s="26">
        <v>2.6192115</v>
      </c>
      <c r="J71" s="26">
        <v>175.14812790000002</v>
      </c>
      <c r="K71" s="19">
        <v>3.236040810148015E-13</v>
      </c>
      <c r="L71" s="29">
        <v>1.3130444722608819E-16</v>
      </c>
      <c r="M71" s="31">
        <v>370.39367979999997</v>
      </c>
      <c r="N71" s="19">
        <v>3.0287252676988932E-8</v>
      </c>
      <c r="O71" s="29">
        <v>1.4654995836520054E-11</v>
      </c>
      <c r="P71" s="31">
        <v>0</v>
      </c>
      <c r="R71" s="29"/>
      <c r="S71" s="69">
        <v>1119.4000000000001</v>
      </c>
      <c r="T71" s="69">
        <v>2.3519000000000001</v>
      </c>
      <c r="U71" s="67">
        <f>S71/J71</f>
        <v>6.3911616608264072</v>
      </c>
      <c r="V71" s="67">
        <f>(S71-T71)/(J71-I71)</f>
        <v>6.4745558211829124</v>
      </c>
    </row>
    <row r="72" spans="1:22" x14ac:dyDescent="0.3">
      <c r="A72" s="12">
        <v>3</v>
      </c>
      <c r="B72" s="12">
        <v>45</v>
      </c>
      <c r="C72" s="36">
        <v>1</v>
      </c>
      <c r="D72" s="16">
        <v>1</v>
      </c>
      <c r="E72" s="16">
        <v>0</v>
      </c>
      <c r="F72" s="37">
        <v>16215</v>
      </c>
      <c r="G72" s="53">
        <v>0.11575701510946654</v>
      </c>
      <c r="H72" s="54">
        <v>109.28874498920753</v>
      </c>
      <c r="I72" s="54">
        <v>4.2480339999999996</v>
      </c>
      <c r="J72" s="54">
        <v>332.94932940000001</v>
      </c>
      <c r="K72" s="55">
        <v>3.4703951790655293E-13</v>
      </c>
      <c r="L72" s="56">
        <v>1.3492237304629769E-16</v>
      </c>
      <c r="M72" s="31">
        <v>1086.0201896999999</v>
      </c>
      <c r="N72" s="19">
        <v>4.7524342942599758E-9</v>
      </c>
      <c r="O72" s="29">
        <v>2.0626917958575408E-11</v>
      </c>
      <c r="P72" s="31">
        <v>0</v>
      </c>
      <c r="R72" s="29"/>
    </row>
    <row r="73" spans="1:22" x14ac:dyDescent="0.3">
      <c r="A73" s="12">
        <v>3</v>
      </c>
      <c r="B73" s="12">
        <v>50</v>
      </c>
      <c r="C73" s="36">
        <v>1</v>
      </c>
      <c r="D73" s="16">
        <v>0</v>
      </c>
      <c r="E73" s="16">
        <v>0</v>
      </c>
      <c r="F73" s="37">
        <v>22100</v>
      </c>
      <c r="G73" s="53">
        <v>0.12470588235294118</v>
      </c>
      <c r="H73" s="54">
        <v>120.94615384615385</v>
      </c>
      <c r="I73" s="54">
        <v>6.503323</v>
      </c>
      <c r="J73" s="54">
        <v>594.58825760000002</v>
      </c>
      <c r="K73" s="55">
        <v>4.4174361193271037E-13</v>
      </c>
      <c r="L73" s="56">
        <v>1.3602582199598565E-16</v>
      </c>
      <c r="M73" s="31"/>
      <c r="O73" s="29"/>
      <c r="P73" s="31"/>
      <c r="R73" s="29"/>
    </row>
    <row r="74" spans="1:22" x14ac:dyDescent="0.3">
      <c r="A74" s="20">
        <v>4</v>
      </c>
      <c r="B74" s="20">
        <v>2</v>
      </c>
      <c r="C74" s="33">
        <v>20</v>
      </c>
      <c r="D74" s="34">
        <v>20</v>
      </c>
      <c r="E74" s="34">
        <v>20</v>
      </c>
      <c r="F74" s="35">
        <v>5</v>
      </c>
      <c r="G74" s="21">
        <v>0</v>
      </c>
      <c r="H74" s="22">
        <v>20.330000000000002</v>
      </c>
      <c r="I74" s="22">
        <v>9.137855000000002E-3</v>
      </c>
      <c r="J74" s="22">
        <v>3.4954354999999993E-2</v>
      </c>
      <c r="K74" s="23">
        <v>1.0983004986093658E-15</v>
      </c>
      <c r="L74" s="27">
        <v>1.3257961225358292E-16</v>
      </c>
      <c r="M74" s="30">
        <v>5.875E-3</v>
      </c>
      <c r="N74" s="23">
        <v>1.3261843107076943E-14</v>
      </c>
      <c r="O74" s="27">
        <v>1.3948333528795208E-15</v>
      </c>
      <c r="P74" s="30">
        <v>6.9566000000000003E-3</v>
      </c>
      <c r="Q74" s="23">
        <v>5.3389175961969434E-15</v>
      </c>
      <c r="R74" s="27">
        <v>1.0512096698219458E-15</v>
      </c>
    </row>
    <row r="75" spans="1:22" x14ac:dyDescent="0.3">
      <c r="A75" s="20">
        <v>4</v>
      </c>
      <c r="B75" s="20">
        <v>3</v>
      </c>
      <c r="C75" s="33">
        <v>20</v>
      </c>
      <c r="D75" s="34">
        <v>20</v>
      </c>
      <c r="E75" s="34">
        <v>20</v>
      </c>
      <c r="F75" s="35">
        <v>15</v>
      </c>
      <c r="G75" s="21">
        <v>6.6666666666666671E-3</v>
      </c>
      <c r="H75" s="22">
        <v>21.486666666666668</v>
      </c>
      <c r="I75" s="22">
        <v>5.5112450000000006E-3</v>
      </c>
      <c r="J75" s="22">
        <v>6.0674574999999994E-2</v>
      </c>
      <c r="K75" s="23">
        <v>4.480195995153041E-15</v>
      </c>
      <c r="L75" s="27">
        <v>1.2762604879758112E-16</v>
      </c>
      <c r="M75" s="30">
        <v>1.560634E-2</v>
      </c>
      <c r="N75" s="23">
        <v>5.0101341262955216E-14</v>
      </c>
      <c r="O75" s="27">
        <v>9.6321775507549445E-15</v>
      </c>
      <c r="P75" s="30">
        <v>1.4923970000000003E-2</v>
      </c>
      <c r="Q75" s="23">
        <v>1.2087871302063673E-14</v>
      </c>
      <c r="R75" s="27">
        <v>1.4339104354569855E-15</v>
      </c>
    </row>
    <row r="76" spans="1:22" x14ac:dyDescent="0.3">
      <c r="A76" s="20">
        <v>4</v>
      </c>
      <c r="B76" s="20">
        <v>4</v>
      </c>
      <c r="C76" s="33">
        <v>20</v>
      </c>
      <c r="D76" s="34">
        <v>20</v>
      </c>
      <c r="E76" s="34">
        <v>20</v>
      </c>
      <c r="F76" s="35">
        <v>35</v>
      </c>
      <c r="G76" s="21">
        <v>5.7142857142857143E-3</v>
      </c>
      <c r="H76" s="22">
        <v>21.895714285714284</v>
      </c>
      <c r="I76" s="22">
        <v>1.0473195000000001E-2</v>
      </c>
      <c r="J76" s="22">
        <v>9.542328500000001E-2</v>
      </c>
      <c r="K76" s="23">
        <v>7.5578889631988401E-15</v>
      </c>
      <c r="L76" s="27">
        <v>1.1502531428663804E-16</v>
      </c>
      <c r="M76" s="30">
        <v>3.6510745000000004E-2</v>
      </c>
      <c r="N76" s="23">
        <v>1.4035000479654255E-12</v>
      </c>
      <c r="O76" s="27">
        <v>5.3788974349869416E-15</v>
      </c>
      <c r="P76" s="30">
        <v>3.0591785E-2</v>
      </c>
      <c r="Q76" s="23">
        <v>3.268583415415414E-14</v>
      </c>
      <c r="R76" s="27">
        <v>2.579752468698647E-15</v>
      </c>
    </row>
    <row r="77" spans="1:22" x14ac:dyDescent="0.3">
      <c r="A77" s="20">
        <v>4</v>
      </c>
      <c r="B77" s="20">
        <v>5</v>
      </c>
      <c r="C77" s="33">
        <v>20</v>
      </c>
      <c r="D77" s="34">
        <v>20</v>
      </c>
      <c r="E77" s="34">
        <v>20</v>
      </c>
      <c r="F77" s="35">
        <v>70</v>
      </c>
      <c r="G77" s="21">
        <v>1.2857142857142857E-2</v>
      </c>
      <c r="H77" s="22">
        <v>23.298571428571435</v>
      </c>
      <c r="I77" s="22">
        <v>1.8140739999999999E-2</v>
      </c>
      <c r="J77" s="22">
        <v>0.17940265999999999</v>
      </c>
      <c r="K77" s="23">
        <v>4.041214319934914E-14</v>
      </c>
      <c r="L77" s="27">
        <v>1.1801743404306337E-16</v>
      </c>
      <c r="M77" s="30">
        <v>7.2288394999999991E-2</v>
      </c>
      <c r="N77" s="23">
        <v>1.9155240941133904E-12</v>
      </c>
      <c r="O77" s="27">
        <v>4.8197190201204149E-14</v>
      </c>
      <c r="P77" s="30">
        <v>6.8004855000000003E-2</v>
      </c>
      <c r="Q77" s="23">
        <v>9.1141677114344036E-14</v>
      </c>
      <c r="R77" s="27">
        <v>3.0929534425831649E-15</v>
      </c>
    </row>
    <row r="78" spans="1:22" x14ac:dyDescent="0.3">
      <c r="A78" s="20">
        <v>4</v>
      </c>
      <c r="B78" s="20">
        <v>6</v>
      </c>
      <c r="C78" s="33">
        <v>20</v>
      </c>
      <c r="D78" s="34">
        <v>20</v>
      </c>
      <c r="E78" s="34">
        <v>20</v>
      </c>
      <c r="F78" s="35">
        <v>126</v>
      </c>
      <c r="G78" s="21">
        <v>1.3492063492063491E-2</v>
      </c>
      <c r="H78" s="22">
        <v>24.808730158730157</v>
      </c>
      <c r="I78" s="22">
        <v>3.2196504999999993E-2</v>
      </c>
      <c r="J78" s="22">
        <v>0.29394207500000002</v>
      </c>
      <c r="K78" s="23">
        <v>8.5529906449556539E-14</v>
      </c>
      <c r="L78" s="27">
        <v>1.163817486016718E-16</v>
      </c>
      <c r="M78" s="30">
        <v>0.13498407000000001</v>
      </c>
      <c r="N78" s="23">
        <v>2.3317718977770714E-12</v>
      </c>
      <c r="O78" s="27">
        <v>1.8838733590327461E-13</v>
      </c>
      <c r="P78" s="30">
        <v>0.16412260999999997</v>
      </c>
      <c r="Q78" s="23">
        <v>5.2575222418810721E-13</v>
      </c>
      <c r="R78" s="27">
        <v>5.8210515051116458E-15</v>
      </c>
    </row>
    <row r="79" spans="1:22" x14ac:dyDescent="0.3">
      <c r="A79" s="20">
        <v>4</v>
      </c>
      <c r="B79" s="20">
        <v>7</v>
      </c>
      <c r="C79" s="33">
        <v>20</v>
      </c>
      <c r="D79" s="34">
        <v>20</v>
      </c>
      <c r="E79" s="34">
        <v>20</v>
      </c>
      <c r="F79" s="35">
        <v>210</v>
      </c>
      <c r="G79" s="21">
        <v>1.6190476190476189E-2</v>
      </c>
      <c r="H79" s="22">
        <v>26.170714285714286</v>
      </c>
      <c r="I79" s="22">
        <v>5.1908255E-2</v>
      </c>
      <c r="J79" s="22">
        <v>0.46586473500000009</v>
      </c>
      <c r="K79" s="23">
        <v>6.0022900426234662E-14</v>
      </c>
      <c r="L79" s="27">
        <v>1.1543568817180195E-16</v>
      </c>
      <c r="M79" s="30">
        <v>0.243723775</v>
      </c>
      <c r="N79" s="23">
        <v>1.1849006169327595E-11</v>
      </c>
      <c r="O79" s="27">
        <v>2.7028052288840781E-13</v>
      </c>
      <c r="P79" s="30">
        <v>0.42531325999999997</v>
      </c>
      <c r="Q79" s="23">
        <v>2.0720164631047137E-12</v>
      </c>
      <c r="R79" s="27">
        <v>7.7475147871904035E-15</v>
      </c>
    </row>
    <row r="80" spans="1:22" x14ac:dyDescent="0.3">
      <c r="A80" s="20">
        <v>4</v>
      </c>
      <c r="B80" s="20">
        <v>8</v>
      </c>
      <c r="C80" s="33">
        <v>20</v>
      </c>
      <c r="D80" s="34">
        <v>20</v>
      </c>
      <c r="E80" s="34">
        <v>20</v>
      </c>
      <c r="F80" s="35">
        <v>330</v>
      </c>
      <c r="G80" s="21">
        <v>1.9090909090909089E-2</v>
      </c>
      <c r="H80" s="22">
        <v>28.240151515151517</v>
      </c>
      <c r="I80" s="22">
        <v>7.9923529999999993E-2</v>
      </c>
      <c r="J80" s="22">
        <v>0.70006993500000014</v>
      </c>
      <c r="K80" s="23">
        <v>9.8779004470342054E-15</v>
      </c>
      <c r="L80" s="27">
        <v>1.1486076678321669E-16</v>
      </c>
      <c r="M80" s="30">
        <v>0.42528166999999995</v>
      </c>
      <c r="N80" s="23">
        <v>2.3292945661892563E-11</v>
      </c>
      <c r="O80" s="27">
        <v>2.6375300201138132E-13</v>
      </c>
      <c r="P80" s="30">
        <v>1.175780225</v>
      </c>
      <c r="Q80" s="23">
        <v>3.7731484038050537E-12</v>
      </c>
      <c r="R80" s="27">
        <v>1.1158079985928919E-14</v>
      </c>
    </row>
    <row r="81" spans="1:22" x14ac:dyDescent="0.3">
      <c r="A81" s="20">
        <v>4</v>
      </c>
      <c r="B81" s="20">
        <v>9</v>
      </c>
      <c r="C81" s="33">
        <v>5</v>
      </c>
      <c r="D81" s="34">
        <v>5</v>
      </c>
      <c r="E81" s="34">
        <v>5</v>
      </c>
      <c r="F81" s="35">
        <v>495</v>
      </c>
      <c r="G81" s="21">
        <v>3.5151515151515149E-2</v>
      </c>
      <c r="H81" s="22">
        <v>31.677171717171724</v>
      </c>
      <c r="I81" s="22">
        <v>0.12756457999999998</v>
      </c>
      <c r="J81" s="22">
        <v>1.1385132600000001</v>
      </c>
      <c r="K81" s="23">
        <v>1.4576451946246432E-14</v>
      </c>
      <c r="L81" s="27">
        <v>1.131445946719595E-16</v>
      </c>
      <c r="M81" s="30">
        <v>0.63481323999999995</v>
      </c>
      <c r="N81" s="23">
        <v>2.9903044587571251E-10</v>
      </c>
      <c r="O81" s="27">
        <v>4.0069297193479579E-13</v>
      </c>
      <c r="P81" s="30">
        <v>3.4815425800000002</v>
      </c>
      <c r="Q81" s="23">
        <v>2.9895632034993584E-12</v>
      </c>
      <c r="R81" s="27">
        <v>7.842842029990741E-15</v>
      </c>
    </row>
    <row r="82" spans="1:22" x14ac:dyDescent="0.3">
      <c r="A82" s="20">
        <v>4</v>
      </c>
      <c r="B82" s="20">
        <v>10</v>
      </c>
      <c r="C82" s="33">
        <v>5</v>
      </c>
      <c r="D82" s="34">
        <v>5</v>
      </c>
      <c r="E82" s="34">
        <v>5</v>
      </c>
      <c r="F82" s="35">
        <v>715</v>
      </c>
      <c r="G82" s="21">
        <v>4.5594405594405599E-2</v>
      </c>
      <c r="H82" s="22">
        <v>35.218741258741261</v>
      </c>
      <c r="I82" s="22">
        <v>0.17729632000000001</v>
      </c>
      <c r="J82" s="22">
        <v>1.69885522</v>
      </c>
      <c r="K82" s="23">
        <v>1.6317209500467239E-13</v>
      </c>
      <c r="L82" s="27">
        <v>1.1483547889003847E-16</v>
      </c>
      <c r="M82" s="30">
        <v>1.0409039400000002</v>
      </c>
      <c r="N82" s="23">
        <v>3.0087121487818925E-9</v>
      </c>
      <c r="O82" s="27">
        <v>7.6963481495883744E-12</v>
      </c>
      <c r="P82" s="30">
        <v>12.39100176</v>
      </c>
      <c r="Q82" s="23">
        <v>1.1373292787597043E-11</v>
      </c>
      <c r="R82" s="27">
        <v>1.7656021792978649E-13</v>
      </c>
    </row>
    <row r="83" spans="1:22" x14ac:dyDescent="0.3">
      <c r="A83" s="20">
        <v>4</v>
      </c>
      <c r="B83" s="20">
        <v>11</v>
      </c>
      <c r="C83" s="33">
        <v>5</v>
      </c>
      <c r="D83" s="34">
        <v>5</v>
      </c>
      <c r="E83" s="34">
        <v>5</v>
      </c>
      <c r="F83" s="35">
        <v>1001</v>
      </c>
      <c r="G83" s="21">
        <v>3.6563436563436566E-2</v>
      </c>
      <c r="H83" s="22">
        <v>36.208591408591403</v>
      </c>
      <c r="I83" s="22">
        <v>0.25459546</v>
      </c>
      <c r="J83" s="22">
        <v>2.3266192000000006</v>
      </c>
      <c r="K83" s="23">
        <v>3.6303725330656767E-13</v>
      </c>
      <c r="L83" s="27">
        <v>1.1395480974110111E-16</v>
      </c>
      <c r="M83" s="30">
        <v>1.6349814599999999</v>
      </c>
      <c r="N83" s="23">
        <v>2.9027166474111066E-10</v>
      </c>
      <c r="O83" s="27">
        <v>1.7428916458691467E-12</v>
      </c>
      <c r="P83" s="30">
        <v>28.271071679999999</v>
      </c>
      <c r="Q83" s="23">
        <v>7.038210722618321E-12</v>
      </c>
      <c r="R83" s="27">
        <v>3.3118663384917392E-14</v>
      </c>
    </row>
    <row r="84" spans="1:22" x14ac:dyDescent="0.3">
      <c r="A84" s="20">
        <v>4</v>
      </c>
      <c r="B84" s="20">
        <v>12</v>
      </c>
      <c r="C84" s="33">
        <v>5</v>
      </c>
      <c r="D84" s="34">
        <v>5</v>
      </c>
      <c r="E84" s="34">
        <v>5</v>
      </c>
      <c r="F84" s="35">
        <v>1365</v>
      </c>
      <c r="G84" s="21">
        <v>4.5567765567765567E-2</v>
      </c>
      <c r="H84" s="22">
        <v>38.271355311355315</v>
      </c>
      <c r="I84" s="22">
        <v>0.35783355999999999</v>
      </c>
      <c r="J84" s="22">
        <v>3.5770991199999997</v>
      </c>
      <c r="K84" s="23">
        <v>1.8253168615212489E-13</v>
      </c>
      <c r="L84" s="27">
        <v>1.167438615254113E-16</v>
      </c>
      <c r="M84" s="30">
        <v>2.9392954199999997</v>
      </c>
      <c r="N84" s="23">
        <v>3.1021180926839763E-10</v>
      </c>
      <c r="O84" s="27">
        <v>1.1840482693088397E-12</v>
      </c>
      <c r="P84" s="30">
        <v>64.684485639999991</v>
      </c>
      <c r="Q84" s="23">
        <v>2.5668781476974663E-11</v>
      </c>
      <c r="R84" s="27">
        <v>5.4309566727962712E-14</v>
      </c>
    </row>
    <row r="85" spans="1:22" x14ac:dyDescent="0.3">
      <c r="A85" s="20">
        <v>4</v>
      </c>
      <c r="B85" s="20">
        <v>13</v>
      </c>
      <c r="C85" s="33">
        <v>5</v>
      </c>
      <c r="D85" s="34">
        <v>5</v>
      </c>
      <c r="E85" s="34">
        <v>1</v>
      </c>
      <c r="F85" s="35">
        <v>1820</v>
      </c>
      <c r="G85" s="21">
        <v>5.3186813186813182E-2</v>
      </c>
      <c r="H85" s="22">
        <v>41.53164835164835</v>
      </c>
      <c r="I85" s="22">
        <v>0.49127464000000004</v>
      </c>
      <c r="J85" s="22">
        <v>5.3300209399999998</v>
      </c>
      <c r="K85" s="23">
        <v>9.6905500987222835E-14</v>
      </c>
      <c r="L85" s="27">
        <v>1.1614077384509436E-16</v>
      </c>
      <c r="M85" s="30">
        <v>4.7792429199999997</v>
      </c>
      <c r="N85" s="23">
        <v>2.1892916336844473E-9</v>
      </c>
      <c r="O85" s="27">
        <v>3.7007760015055927E-12</v>
      </c>
      <c r="P85" s="30">
        <v>140.61991420000001</v>
      </c>
      <c r="Q85" s="23">
        <v>2.2253540468093172E-10</v>
      </c>
      <c r="R85" s="27">
        <v>2.1098061616563067E-13</v>
      </c>
    </row>
    <row r="86" spans="1:22" x14ac:dyDescent="0.3">
      <c r="A86" s="20">
        <v>4</v>
      </c>
      <c r="B86" s="20">
        <v>14</v>
      </c>
      <c r="C86" s="33">
        <v>5</v>
      </c>
      <c r="D86" s="34">
        <v>5</v>
      </c>
      <c r="E86" s="34">
        <v>1</v>
      </c>
      <c r="F86" s="35">
        <v>2380</v>
      </c>
      <c r="G86" s="21">
        <v>4.5658263305322133E-2</v>
      </c>
      <c r="H86" s="22">
        <v>43.447899159663869</v>
      </c>
      <c r="I86" s="22">
        <v>0.68477906666666666</v>
      </c>
      <c r="J86" s="22">
        <v>7.400859333333333</v>
      </c>
      <c r="K86" s="23">
        <v>4.9419892261991879E-13</v>
      </c>
      <c r="L86" s="27">
        <v>1.164586238006375E-16</v>
      </c>
      <c r="M86" s="30">
        <v>8.3362589800000002</v>
      </c>
      <c r="N86" s="23">
        <v>9.8457909736242217E-10</v>
      </c>
      <c r="O86" s="27">
        <v>6.9280719080264023E-12</v>
      </c>
      <c r="P86" s="30">
        <v>313.41755699999999</v>
      </c>
      <c r="Q86" s="23">
        <v>1.8745172723666767E-11</v>
      </c>
      <c r="R86" s="27">
        <v>6.35707785116052E-14</v>
      </c>
    </row>
    <row r="87" spans="1:22" x14ac:dyDescent="0.3">
      <c r="A87" s="20">
        <v>4</v>
      </c>
      <c r="B87" s="20">
        <v>15</v>
      </c>
      <c r="C87" s="33">
        <v>5</v>
      </c>
      <c r="D87" s="34">
        <v>5</v>
      </c>
      <c r="E87" s="34">
        <v>1</v>
      </c>
      <c r="F87" s="35">
        <v>3060</v>
      </c>
      <c r="G87" s="21">
        <v>5.7298474945533771E-2</v>
      </c>
      <c r="H87" s="22">
        <v>46.019063180827885</v>
      </c>
      <c r="I87" s="22">
        <v>0.88638263333333345</v>
      </c>
      <c r="J87" s="22">
        <v>11.133719133333335</v>
      </c>
      <c r="K87" s="23">
        <v>1.9317385277829409E-13</v>
      </c>
      <c r="L87" s="27">
        <v>1.1827455273357717E-16</v>
      </c>
      <c r="M87" s="30">
        <v>14.44136638</v>
      </c>
      <c r="N87" s="23">
        <v>5.7045769983887395E-9</v>
      </c>
      <c r="O87" s="27">
        <v>8.5665725651866836E-12</v>
      </c>
      <c r="P87" s="30">
        <v>636.95748519999995</v>
      </c>
      <c r="Q87" s="23">
        <v>6.4447687633230876E-10</v>
      </c>
      <c r="R87" s="27">
        <v>4.5467606439694606E-13</v>
      </c>
      <c r="S87" s="69">
        <v>63.802</v>
      </c>
      <c r="T87" s="69">
        <v>1.105</v>
      </c>
      <c r="U87" s="67">
        <f>S87/J87</f>
        <v>5.7305199849152526</v>
      </c>
      <c r="V87" s="67">
        <f>(S87-T87)/(J87-I87)</f>
        <v>6.1183703687294742</v>
      </c>
    </row>
    <row r="88" spans="1:22" x14ac:dyDescent="0.3">
      <c r="A88" s="20">
        <v>4</v>
      </c>
      <c r="B88" s="20">
        <v>16</v>
      </c>
      <c r="C88" s="33">
        <v>5</v>
      </c>
      <c r="D88" s="34">
        <v>5</v>
      </c>
      <c r="E88" s="34">
        <v>0</v>
      </c>
      <c r="F88" s="35">
        <v>3876</v>
      </c>
      <c r="G88" s="21">
        <v>6.1833505331957341E-2</v>
      </c>
      <c r="H88" s="22">
        <v>49.434554523563811</v>
      </c>
      <c r="I88" s="22">
        <v>1.1506924333333333</v>
      </c>
      <c r="J88" s="22">
        <v>15.777931366666666</v>
      </c>
      <c r="K88" s="23">
        <v>1.9189830423276945E-13</v>
      </c>
      <c r="L88" s="27">
        <v>1.1808072234278666E-16</v>
      </c>
      <c r="M88" s="30">
        <v>25.02096762</v>
      </c>
      <c r="N88" s="23">
        <v>1.0719138954046043E-8</v>
      </c>
      <c r="O88" s="27">
        <v>9.7521003344859766E-12</v>
      </c>
      <c r="P88" s="30">
        <v>0</v>
      </c>
      <c r="Q88" s="23"/>
      <c r="R88" s="27"/>
    </row>
    <row r="89" spans="1:22" x14ac:dyDescent="0.3">
      <c r="A89" s="20">
        <v>4</v>
      </c>
      <c r="B89" s="20">
        <v>17</v>
      </c>
      <c r="C89" s="33">
        <v>3</v>
      </c>
      <c r="D89" s="34">
        <v>3</v>
      </c>
      <c r="E89" s="34">
        <v>0</v>
      </c>
      <c r="F89" s="35">
        <v>4845</v>
      </c>
      <c r="G89" s="21">
        <v>6.5290677674578593E-2</v>
      </c>
      <c r="H89" s="22">
        <v>51.261988304093563</v>
      </c>
      <c r="I89" s="22">
        <v>1.4620122666666664</v>
      </c>
      <c r="J89" s="22">
        <v>20.979158766666668</v>
      </c>
      <c r="K89" s="23">
        <v>3.2085760469667915E-13</v>
      </c>
      <c r="L89" s="27">
        <v>1.1946152399984706E-16</v>
      </c>
      <c r="M89" s="30">
        <v>47.062229133333325</v>
      </c>
      <c r="N89" s="23">
        <v>2.2069862729670011E-9</v>
      </c>
      <c r="O89" s="27">
        <v>1.7862095389511351E-11</v>
      </c>
      <c r="P89" s="30">
        <v>0</v>
      </c>
      <c r="Q89" s="23"/>
      <c r="R89" s="27"/>
    </row>
    <row r="90" spans="1:22" x14ac:dyDescent="0.3">
      <c r="A90" s="20">
        <v>4</v>
      </c>
      <c r="B90" s="20">
        <v>18</v>
      </c>
      <c r="C90" s="33">
        <v>3</v>
      </c>
      <c r="D90" s="34">
        <v>3</v>
      </c>
      <c r="E90" s="34">
        <v>0</v>
      </c>
      <c r="F90" s="35">
        <v>5985</v>
      </c>
      <c r="G90" s="21">
        <v>6.6276803118908378E-2</v>
      </c>
      <c r="H90" s="22">
        <v>54.764522417153991</v>
      </c>
      <c r="I90" s="22">
        <v>1.8767346</v>
      </c>
      <c r="J90" s="22">
        <v>28.033140100000001</v>
      </c>
      <c r="K90" s="23">
        <v>4.2929592680929307E-13</v>
      </c>
      <c r="L90" s="27">
        <v>1.2001547345980983E-16</v>
      </c>
      <c r="M90" s="30">
        <v>82.009343533333336</v>
      </c>
      <c r="N90" s="23">
        <v>5.2128455351986854E-9</v>
      </c>
      <c r="O90" s="27">
        <v>3.8499160912790907E-11</v>
      </c>
      <c r="P90" s="30">
        <v>0</v>
      </c>
      <c r="Q90" s="23"/>
      <c r="R90" s="27"/>
    </row>
    <row r="91" spans="1:22" x14ac:dyDescent="0.3">
      <c r="A91" s="20">
        <v>4</v>
      </c>
      <c r="B91" s="20">
        <v>19</v>
      </c>
      <c r="C91" s="33">
        <v>1</v>
      </c>
      <c r="D91" s="34">
        <v>1</v>
      </c>
      <c r="E91" s="34">
        <v>0</v>
      </c>
      <c r="F91" s="35">
        <v>7315</v>
      </c>
      <c r="G91" s="21">
        <v>7.4367737525632263E-2</v>
      </c>
      <c r="H91" s="22">
        <v>56.366780587833219</v>
      </c>
      <c r="I91" s="22">
        <v>2.9357280000000001</v>
      </c>
      <c r="J91" s="22">
        <v>36.964761099999997</v>
      </c>
      <c r="K91" s="23">
        <v>3.5311073124841684E-13</v>
      </c>
      <c r="L91" s="27">
        <v>1.210853488575235E-16</v>
      </c>
      <c r="M91" s="30">
        <v>143.72249239999999</v>
      </c>
      <c r="N91" s="23">
        <v>3.4145589896401931E-9</v>
      </c>
      <c r="O91" s="27">
        <v>1.0966783434317919E-11</v>
      </c>
      <c r="P91" s="30">
        <v>0</v>
      </c>
      <c r="Q91" s="23"/>
      <c r="R91" s="27"/>
    </row>
    <row r="92" spans="1:22" x14ac:dyDescent="0.3">
      <c r="A92" s="20">
        <v>4</v>
      </c>
      <c r="B92" s="20">
        <v>20</v>
      </c>
      <c r="C92" s="33">
        <v>1</v>
      </c>
      <c r="D92" s="34">
        <v>1</v>
      </c>
      <c r="E92" s="34">
        <v>0</v>
      </c>
      <c r="F92" s="35">
        <v>8855</v>
      </c>
      <c r="G92" s="21">
        <v>6.5386787125917556E-2</v>
      </c>
      <c r="H92" s="22">
        <v>58.826086956521742</v>
      </c>
      <c r="I92" s="22">
        <v>3.8454337000000001</v>
      </c>
      <c r="J92" s="22">
        <v>47.428557900000001</v>
      </c>
      <c r="K92" s="23">
        <v>3.6238747631324489E-13</v>
      </c>
      <c r="L92" s="27">
        <v>1.1945624082942715E-16</v>
      </c>
      <c r="M92" s="30">
        <v>284.22466589999999</v>
      </c>
      <c r="N92" s="23">
        <v>8.1379520912325659E-8</v>
      </c>
      <c r="O92" s="27">
        <v>2.8788167721498628E-11</v>
      </c>
      <c r="P92" s="30">
        <v>0</v>
      </c>
      <c r="Q92" s="23"/>
      <c r="R92" s="27"/>
    </row>
    <row r="93" spans="1:22" x14ac:dyDescent="0.3">
      <c r="A93" s="12">
        <v>5</v>
      </c>
      <c r="B93" s="12">
        <v>2</v>
      </c>
      <c r="C93" s="36">
        <v>20</v>
      </c>
      <c r="D93" s="16">
        <v>20</v>
      </c>
      <c r="E93" s="16">
        <v>20</v>
      </c>
      <c r="F93" s="37">
        <v>6</v>
      </c>
      <c r="G93" s="25">
        <v>0</v>
      </c>
      <c r="H93" s="26">
        <v>21.024999999999999</v>
      </c>
      <c r="I93" s="26">
        <v>4.0485599999999988E-3</v>
      </c>
      <c r="J93" s="26">
        <v>3.3204734999999999E-2</v>
      </c>
      <c r="K93" s="19">
        <v>1.4726596319343203E-15</v>
      </c>
      <c r="L93" s="29">
        <v>1.5883526653922439E-16</v>
      </c>
      <c r="M93" s="31">
        <v>3.6216889999999995E-2</v>
      </c>
      <c r="N93" s="19">
        <v>8.8371742519319858E-15</v>
      </c>
      <c r="O93" s="29">
        <v>2.9988167192432421E-15</v>
      </c>
      <c r="P93" s="31">
        <v>9.4405199999999991E-3</v>
      </c>
      <c r="Q93" s="19">
        <v>1.0894365050755563E-12</v>
      </c>
      <c r="R93" s="29">
        <v>1.8508597092275008E-15</v>
      </c>
    </row>
    <row r="94" spans="1:22" x14ac:dyDescent="0.3">
      <c r="A94" s="12">
        <v>5</v>
      </c>
      <c r="B94" s="12">
        <v>3</v>
      </c>
      <c r="C94" s="36">
        <v>20</v>
      </c>
      <c r="D94" s="16">
        <v>20</v>
      </c>
      <c r="E94" s="16">
        <v>20</v>
      </c>
      <c r="F94" s="37">
        <v>21</v>
      </c>
      <c r="G94" s="25">
        <v>4.7619047619047623E-3</v>
      </c>
      <c r="H94" s="26">
        <v>22.540476190476191</v>
      </c>
      <c r="I94" s="26">
        <v>9.2671399999999984E-3</v>
      </c>
      <c r="J94" s="26">
        <v>7.6251975E-2</v>
      </c>
      <c r="K94" s="19">
        <v>1.1343831338671864E-14</v>
      </c>
      <c r="L94" s="29">
        <v>1.3481850005851606E-16</v>
      </c>
      <c r="M94" s="31">
        <v>0.12438753000000002</v>
      </c>
      <c r="N94" s="19">
        <v>5.2344400211454902E-14</v>
      </c>
      <c r="O94" s="29">
        <v>3.906447688310087E-15</v>
      </c>
      <c r="P94" s="31">
        <v>2.3206785000000001E-2</v>
      </c>
      <c r="Q94" s="19">
        <v>3.6496720884108084E-14</v>
      </c>
      <c r="R94" s="29">
        <v>1.641303113276523E-15</v>
      </c>
    </row>
    <row r="95" spans="1:22" x14ac:dyDescent="0.3">
      <c r="A95" s="12">
        <v>5</v>
      </c>
      <c r="B95" s="12">
        <v>4</v>
      </c>
      <c r="C95" s="36">
        <v>20</v>
      </c>
      <c r="D95" s="16">
        <v>20</v>
      </c>
      <c r="E95" s="16">
        <v>20</v>
      </c>
      <c r="F95" s="37">
        <v>56</v>
      </c>
      <c r="G95" s="25">
        <v>8.9285714285714281E-3</v>
      </c>
      <c r="H95" s="26">
        <v>22.9375</v>
      </c>
      <c r="I95" s="26">
        <v>2.2691720000000005E-2</v>
      </c>
      <c r="J95" s="26">
        <v>0.14323133999999998</v>
      </c>
      <c r="K95" s="19">
        <v>2.9316739767053971E-14</v>
      </c>
      <c r="L95" s="29">
        <v>1.2753805978833556E-16</v>
      </c>
      <c r="M95" s="31">
        <v>0.31682692000000007</v>
      </c>
      <c r="N95" s="19">
        <v>5.0459132088779894E-13</v>
      </c>
      <c r="O95" s="29">
        <v>2.8277759674252277E-14</v>
      </c>
      <c r="P95" s="31">
        <v>5.9085774999999993E-2</v>
      </c>
      <c r="Q95" s="19">
        <v>2.1677657561327281E-13</v>
      </c>
      <c r="R95" s="29">
        <v>4.5678968541089174E-15</v>
      </c>
    </row>
    <row r="96" spans="1:22" x14ac:dyDescent="0.3">
      <c r="A96" s="12">
        <v>5</v>
      </c>
      <c r="B96" s="12">
        <v>5</v>
      </c>
      <c r="C96" s="36">
        <v>20</v>
      </c>
      <c r="D96" s="16">
        <v>20</v>
      </c>
      <c r="E96" s="16">
        <v>20</v>
      </c>
      <c r="F96" s="37">
        <v>126</v>
      </c>
      <c r="G96" s="25">
        <v>2.3809523809523807E-3</v>
      </c>
      <c r="H96" s="26">
        <v>23.792857142857141</v>
      </c>
      <c r="I96" s="26">
        <v>4.8373805000000006E-2</v>
      </c>
      <c r="J96" s="26">
        <v>0.26320189500000002</v>
      </c>
      <c r="K96" s="19">
        <v>1.6190019789062394E-14</v>
      </c>
      <c r="L96" s="29">
        <v>1.255261327009809E-16</v>
      </c>
      <c r="M96" s="31">
        <v>0.79143405000000011</v>
      </c>
      <c r="N96" s="19">
        <v>1.3801494980597837E-12</v>
      </c>
      <c r="O96" s="29">
        <v>5.4865259668291536E-14</v>
      </c>
      <c r="P96" s="31">
        <v>0.20403098000000003</v>
      </c>
      <c r="Q96" s="19">
        <v>7.8587270624197993E-13</v>
      </c>
      <c r="R96" s="29">
        <v>5.2104212116125127E-15</v>
      </c>
    </row>
    <row r="97" spans="1:22" x14ac:dyDescent="0.3">
      <c r="A97" s="12">
        <v>5</v>
      </c>
      <c r="B97" s="12">
        <v>6</v>
      </c>
      <c r="C97" s="36">
        <v>20</v>
      </c>
      <c r="D97" s="16">
        <v>20</v>
      </c>
      <c r="E97" s="16">
        <v>20</v>
      </c>
      <c r="F97" s="37">
        <v>252</v>
      </c>
      <c r="G97" s="25">
        <v>1.8452380952380953E-2</v>
      </c>
      <c r="H97" s="26">
        <v>26.539087301587301</v>
      </c>
      <c r="I97" s="26">
        <v>9.2760460000000017E-2</v>
      </c>
      <c r="J97" s="26">
        <v>0.56998807499999993</v>
      </c>
      <c r="K97" s="19">
        <v>7.7833531890587368E-14</v>
      </c>
      <c r="L97" s="29">
        <v>1.2367373045101332E-16</v>
      </c>
      <c r="M97" s="31">
        <v>1.5915183100000001</v>
      </c>
      <c r="N97" s="19">
        <v>1.2405131364966724E-10</v>
      </c>
      <c r="O97" s="29">
        <v>2.3600516708513338E-13</v>
      </c>
      <c r="P97" s="31">
        <v>0.77225319000000003</v>
      </c>
      <c r="Q97" s="19">
        <v>7.5069739613094279E-13</v>
      </c>
      <c r="R97" s="29">
        <v>7.4488651787145559E-15</v>
      </c>
    </row>
    <row r="98" spans="1:22" x14ac:dyDescent="0.3">
      <c r="A98" s="12">
        <v>5</v>
      </c>
      <c r="B98" s="12">
        <v>7</v>
      </c>
      <c r="C98" s="36">
        <v>5</v>
      </c>
      <c r="D98" s="16">
        <v>5</v>
      </c>
      <c r="E98" s="16">
        <v>5</v>
      </c>
      <c r="F98" s="37">
        <v>462</v>
      </c>
      <c r="G98" s="25">
        <v>1.1255411255411256E-2</v>
      </c>
      <c r="H98" s="26">
        <v>26.957575757575757</v>
      </c>
      <c r="I98" s="26">
        <v>0.17871157999999998</v>
      </c>
      <c r="J98" s="26">
        <v>0.97101222000000009</v>
      </c>
      <c r="K98" s="19">
        <v>2.1684055356784678E-13</v>
      </c>
      <c r="L98" s="29">
        <v>1.2435396102418885E-16</v>
      </c>
      <c r="M98" s="31">
        <v>2.8065348999999999</v>
      </c>
      <c r="N98" s="19">
        <v>4.900894231232991E-11</v>
      </c>
      <c r="O98" s="29">
        <v>8.2598811759746894E-13</v>
      </c>
      <c r="P98" s="31">
        <v>4.0165779400000003</v>
      </c>
      <c r="Q98" s="19">
        <v>5.9020095741699452E-13</v>
      </c>
      <c r="R98" s="29">
        <v>1.1681932912735279E-14</v>
      </c>
    </row>
    <row r="99" spans="1:22" x14ac:dyDescent="0.3">
      <c r="A99" s="12">
        <v>5</v>
      </c>
      <c r="B99" s="12">
        <v>8</v>
      </c>
      <c r="C99" s="36">
        <v>5</v>
      </c>
      <c r="D99" s="16">
        <v>5</v>
      </c>
      <c r="E99" s="16">
        <v>5</v>
      </c>
      <c r="F99" s="37">
        <v>792</v>
      </c>
      <c r="G99" s="25">
        <v>2.803030303030303E-2</v>
      </c>
      <c r="H99" s="26">
        <v>29.622222222222224</v>
      </c>
      <c r="I99" s="26">
        <v>0.33457002000000002</v>
      </c>
      <c r="J99" s="26">
        <v>1.7259364399999999</v>
      </c>
      <c r="K99" s="19">
        <v>1.686144447831692E-13</v>
      </c>
      <c r="L99" s="29">
        <v>1.2341453415391171E-16</v>
      </c>
      <c r="M99" s="31">
        <v>5.9555392600000001</v>
      </c>
      <c r="N99" s="19">
        <v>4.4581018027634362E-11</v>
      </c>
      <c r="O99" s="29">
        <v>9.5524029506663389E-13</v>
      </c>
      <c r="P99" s="31">
        <v>23.58794632</v>
      </c>
      <c r="Q99" s="19">
        <v>1.5563228863912767E-12</v>
      </c>
      <c r="R99" s="29">
        <v>1.7386600573385902E-14</v>
      </c>
    </row>
    <row r="100" spans="1:22" x14ac:dyDescent="0.3">
      <c r="A100" s="12">
        <v>5</v>
      </c>
      <c r="B100" s="12">
        <v>9</v>
      </c>
      <c r="C100" s="36">
        <v>5</v>
      </c>
      <c r="D100" s="16">
        <v>5</v>
      </c>
      <c r="E100" s="16">
        <v>5</v>
      </c>
      <c r="F100" s="37">
        <v>1287</v>
      </c>
      <c r="G100" s="25">
        <v>3.822843822843823E-2</v>
      </c>
      <c r="H100" s="26">
        <v>33.783216783216787</v>
      </c>
      <c r="I100" s="26">
        <v>0.5659322</v>
      </c>
      <c r="J100" s="26">
        <v>3.1348834800000001</v>
      </c>
      <c r="K100" s="19">
        <v>6.2409832481825526E-14</v>
      </c>
      <c r="L100" s="29">
        <v>1.2348076550384923E-16</v>
      </c>
      <c r="M100" s="31">
        <v>10.79656404</v>
      </c>
      <c r="N100" s="19">
        <v>3.6379933360090269E-10</v>
      </c>
      <c r="O100" s="29">
        <v>3.516444104011699E-12</v>
      </c>
      <c r="P100" s="31">
        <v>59.004164560000007</v>
      </c>
      <c r="Q100" s="19">
        <v>7.9660162185391566E-12</v>
      </c>
      <c r="R100" s="29">
        <v>2.0325013552458296E-14</v>
      </c>
    </row>
    <row r="101" spans="1:22" x14ac:dyDescent="0.3">
      <c r="A101" s="12">
        <v>5</v>
      </c>
      <c r="B101" s="12">
        <v>10</v>
      </c>
      <c r="C101" s="36">
        <v>5</v>
      </c>
      <c r="D101" s="16">
        <v>5</v>
      </c>
      <c r="E101" s="16">
        <v>1</v>
      </c>
      <c r="F101" s="37">
        <v>2002</v>
      </c>
      <c r="G101" s="25">
        <v>4.4955044955044952E-2</v>
      </c>
      <c r="H101" s="26">
        <v>36.016083916083915</v>
      </c>
      <c r="I101" s="26">
        <v>0.96331532000000009</v>
      </c>
      <c r="J101" s="26">
        <v>5.3174288199999999</v>
      </c>
      <c r="K101" s="19">
        <v>2.0682766462553197E-13</v>
      </c>
      <c r="L101" s="29">
        <v>1.2117968775034721E-16</v>
      </c>
      <c r="M101" s="31">
        <v>20.229128060000001</v>
      </c>
      <c r="N101" s="19">
        <v>1.1972294046598922E-9</v>
      </c>
      <c r="O101" s="29">
        <v>1.286575225382305E-11</v>
      </c>
      <c r="P101" s="31">
        <v>210.4465831</v>
      </c>
      <c r="Q101" s="19">
        <v>5.1593155207683844E-12</v>
      </c>
      <c r="R101" s="29">
        <v>4.0503504313146147E-14</v>
      </c>
    </row>
    <row r="102" spans="1:22" x14ac:dyDescent="0.3">
      <c r="A102" s="12">
        <v>5</v>
      </c>
      <c r="B102" s="12">
        <v>11</v>
      </c>
      <c r="C102" s="36">
        <v>5</v>
      </c>
      <c r="D102" s="16">
        <v>1</v>
      </c>
      <c r="E102" s="16">
        <v>1</v>
      </c>
      <c r="F102" s="37">
        <v>3003</v>
      </c>
      <c r="G102" s="25">
        <v>5.3058053058053063E-2</v>
      </c>
      <c r="H102" s="26">
        <v>39.181152181152179</v>
      </c>
      <c r="I102" s="26">
        <v>1.5279626333333332</v>
      </c>
      <c r="J102" s="26">
        <v>9.0094639000000001</v>
      </c>
      <c r="K102" s="19">
        <v>3.9971695378103606E-13</v>
      </c>
      <c r="L102" s="29">
        <v>1.2148143771941906E-16</v>
      </c>
      <c r="M102" s="31">
        <v>66.047500400000004</v>
      </c>
      <c r="N102" s="19">
        <v>2.1253092362955195E-9</v>
      </c>
      <c r="O102" s="29">
        <v>1.2207669171516743E-11</v>
      </c>
      <c r="P102" s="31">
        <v>682.25149260000001</v>
      </c>
      <c r="Q102" s="19">
        <v>9.7305349499875391E-12</v>
      </c>
      <c r="R102" s="29">
        <v>6.3725624216579441E-14</v>
      </c>
    </row>
    <row r="103" spans="1:22" x14ac:dyDescent="0.3">
      <c r="A103" s="12">
        <v>5</v>
      </c>
      <c r="B103" s="12">
        <v>12</v>
      </c>
      <c r="C103" s="36">
        <v>5</v>
      </c>
      <c r="D103" s="16">
        <v>1</v>
      </c>
      <c r="E103" s="16">
        <v>1</v>
      </c>
      <c r="F103" s="37">
        <v>4368</v>
      </c>
      <c r="G103" s="25">
        <v>5.967643467643468E-2</v>
      </c>
      <c r="H103" s="26">
        <v>41.855692918192915</v>
      </c>
      <c r="I103" s="26">
        <v>2.4413142000000003</v>
      </c>
      <c r="J103" s="26">
        <v>14.310228033333333</v>
      </c>
      <c r="K103" s="19">
        <v>4.1011328675153563E-13</v>
      </c>
      <c r="L103" s="29">
        <v>1.2309243045992736E-16</v>
      </c>
      <c r="M103" s="31">
        <v>119.5974179</v>
      </c>
      <c r="N103" s="19">
        <v>1.5328540959687084E-9</v>
      </c>
      <c r="O103" s="29">
        <v>5.3199055672583282E-12</v>
      </c>
      <c r="P103" s="31">
        <v>2113.2612829999998</v>
      </c>
      <c r="Q103" s="19">
        <v>9.0795170350527041E-12</v>
      </c>
      <c r="R103" s="29">
        <v>8.916631099107902E-14</v>
      </c>
    </row>
    <row r="104" spans="1:22" x14ac:dyDescent="0.3">
      <c r="A104" s="12">
        <v>5</v>
      </c>
      <c r="B104" s="12">
        <v>13</v>
      </c>
      <c r="C104" s="36">
        <v>1</v>
      </c>
      <c r="D104" s="16">
        <v>1</v>
      </c>
      <c r="E104" s="16">
        <v>0</v>
      </c>
      <c r="F104" s="37">
        <v>6188</v>
      </c>
      <c r="G104" s="25">
        <v>5.7530704589528116E-2</v>
      </c>
      <c r="H104" s="26">
        <v>42.254686489980607</v>
      </c>
      <c r="I104" s="26">
        <v>4.0589202999999996</v>
      </c>
      <c r="J104" s="26">
        <v>21.312664000000002</v>
      </c>
      <c r="K104" s="19">
        <v>1.1053927024494505E-13</v>
      </c>
      <c r="L104" s="29">
        <v>1.2091455341096432E-16</v>
      </c>
      <c r="M104" s="31">
        <v>267.15335240000002</v>
      </c>
      <c r="N104" s="19">
        <v>1.4848042454773814E-8</v>
      </c>
      <c r="O104" s="29">
        <v>1.5389982505006547E-11</v>
      </c>
      <c r="P104" s="31">
        <v>0</v>
      </c>
      <c r="R104" s="29"/>
    </row>
    <row r="105" spans="1:22" x14ac:dyDescent="0.3">
      <c r="A105" s="12">
        <v>5</v>
      </c>
      <c r="B105" s="12">
        <v>14</v>
      </c>
      <c r="C105" s="36">
        <v>1</v>
      </c>
      <c r="D105" s="16">
        <v>1</v>
      </c>
      <c r="E105" s="16">
        <v>0</v>
      </c>
      <c r="F105" s="37">
        <v>8568</v>
      </c>
      <c r="G105" s="25">
        <v>6.8160597572362272E-2</v>
      </c>
      <c r="H105" s="26">
        <v>45.746965452847803</v>
      </c>
      <c r="I105" s="26">
        <v>6.3668737999999996</v>
      </c>
      <c r="J105" s="26">
        <v>32.910109399999996</v>
      </c>
      <c r="K105" s="19">
        <v>5.6513930771883584E-13</v>
      </c>
      <c r="L105" s="29">
        <v>1.2353662116605378E-16</v>
      </c>
      <c r="M105" s="31">
        <v>537.66359539999996</v>
      </c>
      <c r="N105" s="19">
        <v>6.164902064250883E-9</v>
      </c>
      <c r="O105" s="29">
        <v>2.7979457336880142E-11</v>
      </c>
      <c r="P105" s="31">
        <v>0</v>
      </c>
      <c r="R105" s="29"/>
    </row>
    <row r="106" spans="1:22" x14ac:dyDescent="0.3">
      <c r="A106" s="12">
        <v>5</v>
      </c>
      <c r="B106" s="12">
        <v>15</v>
      </c>
      <c r="C106" s="36">
        <v>3</v>
      </c>
      <c r="D106" s="16">
        <v>1</v>
      </c>
      <c r="E106" s="16">
        <v>0</v>
      </c>
      <c r="F106" s="37">
        <v>11628</v>
      </c>
      <c r="G106" s="25">
        <v>6.6305469556243557E-2</v>
      </c>
      <c r="H106" s="26">
        <v>48.850963192294465</v>
      </c>
      <c r="I106" s="26">
        <v>9.6694370999999997</v>
      </c>
      <c r="J106" s="26">
        <v>54.297702599999994</v>
      </c>
      <c r="K106" s="19">
        <v>5.1897725670975774E-13</v>
      </c>
      <c r="L106" s="29">
        <v>1.2468722909704443E-16</v>
      </c>
      <c r="M106" s="31">
        <v>1097.6545295999999</v>
      </c>
      <c r="N106" s="19">
        <v>8.2229650378789392E-8</v>
      </c>
      <c r="O106" s="29">
        <v>5.3016662233764789E-11</v>
      </c>
      <c r="P106" s="31">
        <v>0</v>
      </c>
      <c r="R106" s="29"/>
      <c r="S106" s="70">
        <v>306.88</v>
      </c>
      <c r="T106" s="70">
        <v>9.4730000000000008</v>
      </c>
      <c r="U106" s="67">
        <f>S106/J106</f>
        <v>5.6518045019459082</v>
      </c>
      <c r="V106" s="67">
        <f>(S106-T106)/(J106-I106)</f>
        <v>6.6640949781030585</v>
      </c>
    </row>
    <row r="107" spans="1:22" x14ac:dyDescent="0.3">
      <c r="A107" s="12">
        <v>5</v>
      </c>
      <c r="B107" s="12">
        <v>16</v>
      </c>
      <c r="C107" s="36">
        <v>1</v>
      </c>
      <c r="D107" s="16">
        <v>1</v>
      </c>
      <c r="E107" s="16">
        <v>0</v>
      </c>
      <c r="F107" s="37">
        <v>15504</v>
      </c>
      <c r="G107" s="25">
        <v>7.3464912280701761E-2</v>
      </c>
      <c r="H107" s="26">
        <v>51.857585139318886</v>
      </c>
      <c r="I107" s="26">
        <v>14.715860899999999</v>
      </c>
      <c r="J107" s="26">
        <v>80.945590799999991</v>
      </c>
      <c r="K107" s="19">
        <v>5.4702027322082213E-13</v>
      </c>
      <c r="L107" s="29">
        <v>1.2665761369070656E-16</v>
      </c>
      <c r="M107" s="31">
        <v>2305.1311283999999</v>
      </c>
      <c r="N107" s="19">
        <v>6.682046280414446E-8</v>
      </c>
      <c r="O107" s="29">
        <v>5.8251874552015972E-11</v>
      </c>
      <c r="P107" s="31"/>
      <c r="R107" s="29"/>
    </row>
    <row r="108" spans="1:22" x14ac:dyDescent="0.3">
      <c r="A108" s="12">
        <v>5</v>
      </c>
      <c r="B108" s="12">
        <v>17</v>
      </c>
      <c r="C108" s="36">
        <v>1</v>
      </c>
      <c r="D108" s="16">
        <v>0</v>
      </c>
      <c r="E108" s="16">
        <v>0</v>
      </c>
      <c r="F108" s="37">
        <v>20349</v>
      </c>
      <c r="G108" s="25">
        <v>7.6613101380903242E-2</v>
      </c>
      <c r="H108" s="26">
        <v>55.399872229593591</v>
      </c>
      <c r="I108" s="26">
        <v>22.377465300000001</v>
      </c>
      <c r="J108" s="26">
        <v>117.491991</v>
      </c>
      <c r="K108" s="19">
        <v>3.4433288865469058E-13</v>
      </c>
      <c r="L108" s="29">
        <v>1.2519845719755494E-16</v>
      </c>
      <c r="M108" s="31"/>
      <c r="O108" s="29"/>
      <c r="P108" s="31"/>
      <c r="R108" s="29"/>
    </row>
    <row r="109" spans="1:22" x14ac:dyDescent="0.3">
      <c r="A109" s="20">
        <v>6</v>
      </c>
      <c r="B109" s="20">
        <v>2</v>
      </c>
      <c r="C109" s="33">
        <v>20</v>
      </c>
      <c r="D109" s="34">
        <v>20</v>
      </c>
      <c r="E109" s="34">
        <v>20</v>
      </c>
      <c r="F109" s="35">
        <v>7</v>
      </c>
      <c r="G109" s="21">
        <v>0</v>
      </c>
      <c r="H109" s="22">
        <v>22.142857142857146</v>
      </c>
      <c r="I109" s="22">
        <v>9.9852399999999994E-3</v>
      </c>
      <c r="J109" s="22">
        <v>4.5036955000000004E-2</v>
      </c>
      <c r="K109" s="23">
        <v>2.6522006436109976E-15</v>
      </c>
      <c r="L109" s="27">
        <v>2.4400453471359334E-16</v>
      </c>
      <c r="M109" s="30">
        <v>0.26154030500000003</v>
      </c>
      <c r="N109" s="23">
        <v>2.8031708267281334E-14</v>
      </c>
      <c r="O109" s="27">
        <v>3.2299504963188025E-15</v>
      </c>
      <c r="P109" s="30">
        <v>1.0894435000000001E-2</v>
      </c>
      <c r="Q109" s="23">
        <v>2.3396390232279456E-14</v>
      </c>
      <c r="R109" s="27">
        <v>2.6588322692823478E-15</v>
      </c>
    </row>
    <row r="110" spans="1:22" x14ac:dyDescent="0.3">
      <c r="A110" s="20">
        <v>6</v>
      </c>
      <c r="B110" s="20">
        <v>3</v>
      </c>
      <c r="C110" s="33">
        <v>20</v>
      </c>
      <c r="D110" s="34">
        <v>20</v>
      </c>
      <c r="E110" s="34">
        <v>20</v>
      </c>
      <c r="F110" s="35">
        <v>28</v>
      </c>
      <c r="G110" s="21">
        <v>1.0714285714285714E-2</v>
      </c>
      <c r="H110" s="22">
        <v>23.912500000000001</v>
      </c>
      <c r="I110" s="22">
        <v>2.3968389999999999E-2</v>
      </c>
      <c r="J110" s="22">
        <v>0.11473232000000003</v>
      </c>
      <c r="K110" s="23">
        <v>1.0359936184097788E-14</v>
      </c>
      <c r="L110" s="27">
        <v>1.3255559325747014E-16</v>
      </c>
      <c r="M110" s="30">
        <v>1.0297562250000001</v>
      </c>
      <c r="N110" s="23">
        <v>1.2964191373341165E-13</v>
      </c>
      <c r="O110" s="27">
        <v>4.3031634770527693E-14</v>
      </c>
      <c r="P110" s="30">
        <v>3.0825830000000005E-2</v>
      </c>
      <c r="Q110" s="23">
        <v>6.5769608198405057E-14</v>
      </c>
      <c r="R110" s="27">
        <v>5.2231039040589853E-15</v>
      </c>
    </row>
    <row r="111" spans="1:22" x14ac:dyDescent="0.3">
      <c r="A111" s="20">
        <v>6</v>
      </c>
      <c r="B111" s="20">
        <v>4</v>
      </c>
      <c r="C111" s="33">
        <v>20</v>
      </c>
      <c r="D111" s="34">
        <v>20</v>
      </c>
      <c r="E111" s="34">
        <v>20</v>
      </c>
      <c r="F111" s="35">
        <v>84</v>
      </c>
      <c r="G111" s="21">
        <v>1.0714285714285714E-2</v>
      </c>
      <c r="H111" s="22">
        <v>24.866666666666667</v>
      </c>
      <c r="I111" s="22">
        <v>7.8924454999999991E-2</v>
      </c>
      <c r="J111" s="22">
        <v>0.27964221500000008</v>
      </c>
      <c r="K111" s="23">
        <v>1.6626630830473515E-14</v>
      </c>
      <c r="L111" s="27">
        <v>1.33119816145033E-16</v>
      </c>
      <c r="M111" s="30">
        <v>3.0857070799999997</v>
      </c>
      <c r="N111" s="23">
        <v>2.0295073875071243E-12</v>
      </c>
      <c r="O111" s="27">
        <v>5.2679576851860773E-14</v>
      </c>
      <c r="P111" s="30">
        <v>0.10668886500000001</v>
      </c>
      <c r="Q111" s="23">
        <v>3.1488186119170777E-13</v>
      </c>
      <c r="R111" s="27">
        <v>1.6730608028343718E-14</v>
      </c>
    </row>
    <row r="112" spans="1:22" x14ac:dyDescent="0.3">
      <c r="A112" s="20">
        <v>6</v>
      </c>
      <c r="B112" s="20">
        <v>5</v>
      </c>
      <c r="C112" s="33">
        <v>20</v>
      </c>
      <c r="D112" s="34">
        <v>5</v>
      </c>
      <c r="E112" s="34">
        <v>20</v>
      </c>
      <c r="F112" s="35">
        <v>210</v>
      </c>
      <c r="G112" s="21">
        <v>1.5952380952380954E-2</v>
      </c>
      <c r="H112" s="22">
        <v>25.896666666666668</v>
      </c>
      <c r="I112" s="22">
        <v>0.19049169999999999</v>
      </c>
      <c r="J112" s="22">
        <v>0.61794294500000002</v>
      </c>
      <c r="K112" s="23">
        <v>5.5887088191209416E-14</v>
      </c>
      <c r="L112" s="27">
        <v>1.3079149736644543E-16</v>
      </c>
      <c r="M112" s="30">
        <v>7.8288595000000001</v>
      </c>
      <c r="N112" s="23">
        <v>4.5251364358082194E-11</v>
      </c>
      <c r="O112" s="27">
        <v>5.7936160733679515E-13</v>
      </c>
      <c r="P112" s="30">
        <v>0.55461238000000002</v>
      </c>
      <c r="Q112" s="23">
        <v>7.8420583649088799E-13</v>
      </c>
      <c r="R112" s="27">
        <v>1.1280622335288723E-14</v>
      </c>
    </row>
    <row r="113" spans="1:22" x14ac:dyDescent="0.3">
      <c r="A113" s="20">
        <v>6</v>
      </c>
      <c r="B113" s="20">
        <v>6</v>
      </c>
      <c r="C113" s="33">
        <v>5</v>
      </c>
      <c r="D113" s="34">
        <v>5</v>
      </c>
      <c r="E113" s="34">
        <v>5</v>
      </c>
      <c r="F113" s="35">
        <v>462</v>
      </c>
      <c r="G113" s="21">
        <v>1.4718614718614718E-2</v>
      </c>
      <c r="H113" s="22">
        <v>26.348917748917746</v>
      </c>
      <c r="I113" s="22">
        <v>0.43905209999999995</v>
      </c>
      <c r="J113" s="22">
        <v>1.2429469200000001</v>
      </c>
      <c r="K113" s="23">
        <v>1.3326703601758001E-14</v>
      </c>
      <c r="L113" s="27">
        <v>1.3022596131231571E-16</v>
      </c>
      <c r="M113" s="30">
        <v>19.46116374</v>
      </c>
      <c r="N113" s="23">
        <v>2.6519500250225152E-9</v>
      </c>
      <c r="O113" s="27">
        <v>2.3576701777535595E-12</v>
      </c>
      <c r="P113" s="30">
        <v>6.068062320000001</v>
      </c>
      <c r="Q113" s="23">
        <v>1.2832030237790058E-12</v>
      </c>
      <c r="R113" s="27">
        <v>1.5540873578954652E-14</v>
      </c>
    </row>
    <row r="114" spans="1:22" x14ac:dyDescent="0.3">
      <c r="A114" s="20">
        <v>6</v>
      </c>
      <c r="B114" s="20">
        <v>7</v>
      </c>
      <c r="C114" s="33">
        <v>5</v>
      </c>
      <c r="D114" s="34">
        <v>5</v>
      </c>
      <c r="E114" s="34">
        <v>5</v>
      </c>
      <c r="F114" s="35">
        <v>924</v>
      </c>
      <c r="G114" s="21">
        <v>3.0952380952380953E-2</v>
      </c>
      <c r="H114" s="22">
        <v>29.588528138528137</v>
      </c>
      <c r="I114" s="22">
        <v>1.0173983799999999</v>
      </c>
      <c r="J114" s="22">
        <v>2.6888829599999999</v>
      </c>
      <c r="K114" s="23">
        <v>2.2332061816516014E-13</v>
      </c>
      <c r="L114" s="27">
        <v>1.3068230495601532E-16</v>
      </c>
      <c r="M114" s="30">
        <v>43.666878280000006</v>
      </c>
      <c r="N114" s="23">
        <v>1.035473770100216E-10</v>
      </c>
      <c r="O114" s="27">
        <v>1.6409077394189714E-12</v>
      </c>
      <c r="P114" s="30">
        <v>31.599334339999995</v>
      </c>
      <c r="Q114" s="23">
        <v>2.8574065854740441E-12</v>
      </c>
      <c r="R114" s="27">
        <v>1.1820446670874992E-14</v>
      </c>
    </row>
    <row r="115" spans="1:22" x14ac:dyDescent="0.3">
      <c r="A115" s="20">
        <v>6</v>
      </c>
      <c r="B115" s="20">
        <v>8</v>
      </c>
      <c r="C115" s="33">
        <v>5</v>
      </c>
      <c r="D115" s="34">
        <v>1</v>
      </c>
      <c r="E115" s="34">
        <v>1</v>
      </c>
      <c r="F115" s="35">
        <v>1716</v>
      </c>
      <c r="G115" s="21">
        <v>3.787878787878788E-2</v>
      </c>
      <c r="H115" s="22">
        <v>32.369930069930071</v>
      </c>
      <c r="I115" s="22">
        <v>2.1504890799999998</v>
      </c>
      <c r="J115" s="22">
        <v>5.3917490800000003</v>
      </c>
      <c r="K115" s="23">
        <v>1.76555805213773E-13</v>
      </c>
      <c r="L115" s="27">
        <v>1.2825571818704477E-16</v>
      </c>
      <c r="M115" s="30">
        <v>118.44355419999999</v>
      </c>
      <c r="N115" s="23">
        <v>8.8997327347004546E-11</v>
      </c>
      <c r="O115" s="27">
        <v>3.4889976384167334E-12</v>
      </c>
      <c r="P115" s="30">
        <v>169.776274</v>
      </c>
      <c r="Q115" s="23">
        <v>5.5970361761870919E-11</v>
      </c>
      <c r="R115" s="27">
        <v>2.5508350008859155E-14</v>
      </c>
      <c r="S115" s="70">
        <v>20.8325657</v>
      </c>
      <c r="T115" s="70">
        <v>2.411</v>
      </c>
      <c r="U115" s="67">
        <f>S115/J115</f>
        <v>3.8637862020092371</v>
      </c>
      <c r="V115" s="67">
        <f>(S115-T115)/(J115-I115)</f>
        <v>5.6834581921845198</v>
      </c>
    </row>
    <row r="116" spans="1:22" x14ac:dyDescent="0.3">
      <c r="A116" s="20">
        <v>6</v>
      </c>
      <c r="B116" s="20">
        <v>9</v>
      </c>
      <c r="C116" s="33">
        <v>5</v>
      </c>
      <c r="D116" s="34">
        <v>1</v>
      </c>
      <c r="E116" s="34">
        <v>1</v>
      </c>
      <c r="F116" s="35">
        <v>3003</v>
      </c>
      <c r="G116" s="21">
        <v>5.1171051171051168E-2</v>
      </c>
      <c r="H116" s="22">
        <v>36.462204462204461</v>
      </c>
      <c r="I116" s="22">
        <v>4.4141718333333335</v>
      </c>
      <c r="J116" s="22">
        <v>11.015139166666666</v>
      </c>
      <c r="K116" s="23">
        <v>3.1616837461351963E-13</v>
      </c>
      <c r="L116" s="27">
        <v>1.2624025364824506E-16</v>
      </c>
      <c r="M116" s="30">
        <v>302.59518709999998</v>
      </c>
      <c r="N116" s="23">
        <v>4.3326048304110188E-8</v>
      </c>
      <c r="O116" s="27">
        <v>4.6986603133052085E-12</v>
      </c>
      <c r="P116" s="30">
        <v>863.77729079999995</v>
      </c>
      <c r="Q116" s="23">
        <v>4.6191616536736133E-12</v>
      </c>
      <c r="R116" s="27">
        <v>4.2878516110114435E-14</v>
      </c>
    </row>
    <row r="117" spans="1:22" x14ac:dyDescent="0.3">
      <c r="A117" s="20">
        <v>6</v>
      </c>
      <c r="B117" s="20">
        <v>10</v>
      </c>
      <c r="C117" s="33">
        <v>5</v>
      </c>
      <c r="D117" s="34">
        <v>1</v>
      </c>
      <c r="E117" s="34">
        <v>0</v>
      </c>
      <c r="F117" s="35">
        <v>5005</v>
      </c>
      <c r="G117" s="21">
        <v>5.627705627705628E-2</v>
      </c>
      <c r="H117" s="22">
        <v>38.478654678654671</v>
      </c>
      <c r="I117" s="22">
        <v>8.7393834333333338</v>
      </c>
      <c r="J117" s="22">
        <v>21.323356200000003</v>
      </c>
      <c r="K117" s="23">
        <v>5.5288575528456537E-13</v>
      </c>
      <c r="L117" s="27">
        <v>1.2834318770514012E-16</v>
      </c>
      <c r="M117" s="30">
        <v>742.08734189999996</v>
      </c>
      <c r="N117" s="23">
        <v>1.1969362743692103E-8</v>
      </c>
      <c r="O117" s="27">
        <v>1.7349764527537589E-11</v>
      </c>
      <c r="P117" s="30">
        <v>0</v>
      </c>
      <c r="Q117" s="23"/>
      <c r="R117" s="27"/>
      <c r="S117" s="70">
        <v>80.093980900000005</v>
      </c>
      <c r="T117" s="70">
        <v>9.3544</v>
      </c>
      <c r="U117" s="67">
        <f>S117/J117</f>
        <v>3.7561620295026539</v>
      </c>
      <c r="V117" s="67">
        <f>(S117-T117)/(J117-I117)</f>
        <v>5.6214028917306695</v>
      </c>
    </row>
    <row r="118" spans="1:22" x14ac:dyDescent="0.3">
      <c r="A118" s="20">
        <v>6</v>
      </c>
      <c r="B118" s="20">
        <v>11</v>
      </c>
      <c r="C118" s="33">
        <v>1</v>
      </c>
      <c r="D118" s="34">
        <v>1</v>
      </c>
      <c r="E118" s="34">
        <v>0</v>
      </c>
      <c r="F118" s="35">
        <v>8008</v>
      </c>
      <c r="G118" s="21">
        <v>6.9555444555444559E-2</v>
      </c>
      <c r="H118" s="22">
        <v>41.701798201798205</v>
      </c>
      <c r="I118" s="22">
        <v>18.381482099999999</v>
      </c>
      <c r="J118" s="22">
        <v>40.379703499999998</v>
      </c>
      <c r="K118" s="23">
        <v>3.7238543221220515E-13</v>
      </c>
      <c r="L118" s="27">
        <v>1.3060000676674515E-16</v>
      </c>
      <c r="M118" s="30">
        <v>2312.4965281999998</v>
      </c>
      <c r="N118" s="23">
        <v>2.5354781821691069E-8</v>
      </c>
      <c r="O118" s="27">
        <v>4.3928469459221387E-11</v>
      </c>
      <c r="P118" s="30">
        <v>0</v>
      </c>
      <c r="Q118" s="23"/>
      <c r="R118" s="27"/>
    </row>
    <row r="119" spans="1:22" x14ac:dyDescent="0.3">
      <c r="A119" s="12">
        <v>7</v>
      </c>
      <c r="B119" s="12">
        <v>2</v>
      </c>
      <c r="C119" s="36">
        <v>20</v>
      </c>
      <c r="D119" s="16">
        <v>20</v>
      </c>
      <c r="E119" s="16">
        <v>20</v>
      </c>
      <c r="F119" s="37">
        <v>8</v>
      </c>
      <c r="G119" s="25">
        <v>0</v>
      </c>
      <c r="H119" s="26">
        <v>24.537500000000001</v>
      </c>
      <c r="I119" s="26">
        <v>3.7806144999999999E-2</v>
      </c>
      <c r="J119" s="26">
        <v>7.5730779999999998E-2</v>
      </c>
      <c r="K119" s="19">
        <v>5.6854775624040914E-15</v>
      </c>
      <c r="L119" s="29">
        <v>1.6272925443105194E-16</v>
      </c>
      <c r="M119" s="31">
        <v>2.28116596</v>
      </c>
      <c r="N119" s="19">
        <v>1.2450032611552289E-13</v>
      </c>
      <c r="O119" s="29">
        <v>1.8022852635533702E-14</v>
      </c>
      <c r="P119" s="31">
        <v>1.3498384999999998E-2</v>
      </c>
      <c r="Q119" s="19">
        <v>2.2023688853739214E-14</v>
      </c>
      <c r="R119" s="29">
        <v>2.1762739024720347E-15</v>
      </c>
    </row>
    <row r="120" spans="1:22" x14ac:dyDescent="0.3">
      <c r="A120" s="12">
        <v>7</v>
      </c>
      <c r="B120" s="12">
        <v>3</v>
      </c>
      <c r="C120" s="36">
        <v>20</v>
      </c>
      <c r="D120" s="16">
        <v>5</v>
      </c>
      <c r="E120" s="16">
        <v>20</v>
      </c>
      <c r="F120" s="37">
        <v>36</v>
      </c>
      <c r="G120" s="25">
        <v>8.3333333333333332E-3</v>
      </c>
      <c r="H120" s="26">
        <v>24.824999999999996</v>
      </c>
      <c r="I120" s="26">
        <v>5.5774629999999992E-2</v>
      </c>
      <c r="J120" s="26">
        <v>0.15315430000000002</v>
      </c>
      <c r="K120" s="19">
        <v>4.8939021377378756E-15</v>
      </c>
      <c r="L120" s="29">
        <v>1.4633551304035414E-16</v>
      </c>
      <c r="M120" s="31">
        <v>10.47226306</v>
      </c>
      <c r="N120" s="19">
        <v>4.3099974223167589E-13</v>
      </c>
      <c r="O120" s="29">
        <v>3.0579690206609171E-14</v>
      </c>
      <c r="P120" s="31">
        <v>4.3932070000000004E-2</v>
      </c>
      <c r="Q120" s="19">
        <v>2.1740300129526349E-13</v>
      </c>
      <c r="R120" s="29">
        <v>3.6813657602131006E-15</v>
      </c>
    </row>
    <row r="121" spans="1:22" x14ac:dyDescent="0.3">
      <c r="A121" s="12">
        <v>7</v>
      </c>
      <c r="B121" s="12">
        <v>4</v>
      </c>
      <c r="C121" s="36">
        <v>20</v>
      </c>
      <c r="D121" s="16">
        <v>5</v>
      </c>
      <c r="E121" s="16">
        <v>20</v>
      </c>
      <c r="F121" s="37">
        <v>120</v>
      </c>
      <c r="G121" s="25">
        <v>9.1666666666666667E-3</v>
      </c>
      <c r="H121" s="26">
        <v>25.621666666666663</v>
      </c>
      <c r="I121" s="26">
        <v>0.18532896500000001</v>
      </c>
      <c r="J121" s="26">
        <v>0.44925526999999993</v>
      </c>
      <c r="K121" s="19">
        <v>7.1332073663340674E-14</v>
      </c>
      <c r="L121" s="29">
        <v>1.3949455290075497E-16</v>
      </c>
      <c r="M121" s="31">
        <v>35.521456920000006</v>
      </c>
      <c r="N121" s="19">
        <v>1.1835090724848004E-11</v>
      </c>
      <c r="O121" s="29">
        <v>1.4472241365767609E-13</v>
      </c>
      <c r="P121" s="31">
        <v>0.26087609</v>
      </c>
      <c r="Q121" s="19">
        <v>3.0240100488095694E-13</v>
      </c>
      <c r="R121" s="29">
        <v>6.6476839034272828E-15</v>
      </c>
    </row>
    <row r="122" spans="1:22" x14ac:dyDescent="0.3">
      <c r="A122" s="12">
        <v>7</v>
      </c>
      <c r="B122" s="12">
        <v>5</v>
      </c>
      <c r="C122" s="36">
        <v>5</v>
      </c>
      <c r="D122" s="16">
        <v>1</v>
      </c>
      <c r="E122" s="16">
        <v>5</v>
      </c>
      <c r="F122" s="37">
        <v>330</v>
      </c>
      <c r="G122" s="25">
        <v>1.4545454545454545E-2</v>
      </c>
      <c r="H122" s="26">
        <v>28.228484848484847</v>
      </c>
      <c r="I122" s="26">
        <v>0.60415343999999993</v>
      </c>
      <c r="J122" s="26">
        <v>1.28136454</v>
      </c>
      <c r="K122" s="19">
        <v>2.435011097181236E-13</v>
      </c>
      <c r="L122" s="29">
        <v>1.4088281313872886E-16</v>
      </c>
      <c r="M122" s="31">
        <v>104.9884751</v>
      </c>
      <c r="N122" s="19">
        <v>3.3217973847551489E-12</v>
      </c>
      <c r="O122" s="29">
        <v>1.3824853404233794E-13</v>
      </c>
      <c r="P122" s="31">
        <v>3.35705404</v>
      </c>
      <c r="Q122" s="19">
        <v>3.2790507544070521E-13</v>
      </c>
      <c r="R122" s="29">
        <v>7.2565794550175886E-15</v>
      </c>
    </row>
    <row r="123" spans="1:22" x14ac:dyDescent="0.3">
      <c r="A123" s="12">
        <v>7</v>
      </c>
      <c r="B123" s="12">
        <v>6</v>
      </c>
      <c r="C123" s="36">
        <v>5</v>
      </c>
      <c r="D123" s="16">
        <v>1</v>
      </c>
      <c r="E123" s="16">
        <v>5</v>
      </c>
      <c r="F123" s="37">
        <v>792</v>
      </c>
      <c r="G123" s="25">
        <v>2.5505050505050503E-2</v>
      </c>
      <c r="H123" s="26">
        <v>28.807575757575755</v>
      </c>
      <c r="I123" s="26">
        <v>1.7266233800000002</v>
      </c>
      <c r="J123" s="26">
        <v>3.1694037799999997</v>
      </c>
      <c r="K123" s="19">
        <v>1.6428231581282075E-13</v>
      </c>
      <c r="L123" s="29">
        <v>1.3841915941646457E-16</v>
      </c>
      <c r="M123" s="31">
        <v>305.77434690000001</v>
      </c>
      <c r="N123" s="19">
        <v>1.1165656510321544E-9</v>
      </c>
      <c r="O123" s="29">
        <v>4.4052521171155495E-12</v>
      </c>
      <c r="P123" s="31">
        <v>28.1524018</v>
      </c>
      <c r="Q123" s="19">
        <v>1.9099858340741245E-12</v>
      </c>
      <c r="R123" s="29">
        <v>1.6184008831862778E-14</v>
      </c>
    </row>
    <row r="124" spans="1:22" x14ac:dyDescent="0.3">
      <c r="A124" s="12">
        <v>7</v>
      </c>
      <c r="B124" s="12">
        <v>7</v>
      </c>
      <c r="C124" s="36">
        <v>5</v>
      </c>
      <c r="D124" s="16">
        <v>1</v>
      </c>
      <c r="E124" s="16">
        <v>1</v>
      </c>
      <c r="F124" s="37">
        <v>1716</v>
      </c>
      <c r="G124" s="25">
        <v>3.2828282828282832E-2</v>
      </c>
      <c r="H124" s="26">
        <v>30.93842268842269</v>
      </c>
      <c r="I124" s="26">
        <v>4.2290084333333331</v>
      </c>
      <c r="J124" s="26">
        <v>7.5992268666666662</v>
      </c>
      <c r="K124" s="19">
        <v>4.7049979106233423E-13</v>
      </c>
      <c r="L124" s="29">
        <v>1.359741032635575E-16</v>
      </c>
      <c r="M124" s="31">
        <v>860.35919660000002</v>
      </c>
      <c r="N124" s="19">
        <v>6.121737133919134E-10</v>
      </c>
      <c r="O124" s="29">
        <v>6.4407556325179409E-12</v>
      </c>
      <c r="P124" s="31">
        <v>232.82317069999999</v>
      </c>
      <c r="Q124" s="19">
        <v>1.1781197236957642E-12</v>
      </c>
      <c r="R124" s="29">
        <v>2.415254560136972E-14</v>
      </c>
    </row>
    <row r="125" spans="1:22" x14ac:dyDescent="0.3">
      <c r="A125" s="12">
        <v>7</v>
      </c>
      <c r="B125" s="12">
        <v>8</v>
      </c>
      <c r="C125" s="36">
        <v>1</v>
      </c>
      <c r="D125" s="16">
        <v>1</v>
      </c>
      <c r="E125" s="16">
        <v>1</v>
      </c>
      <c r="F125" s="37">
        <v>3432</v>
      </c>
      <c r="G125" s="25">
        <v>4.6911421911421912E-2</v>
      </c>
      <c r="H125" s="26">
        <v>34.754370629370626</v>
      </c>
      <c r="I125" s="26">
        <v>9.1161122999999993</v>
      </c>
      <c r="J125" s="26">
        <v>16.7404893</v>
      </c>
      <c r="K125" s="19">
        <v>7.8991303399505828E-13</v>
      </c>
      <c r="L125" s="29">
        <v>1.3450546966345016E-16</v>
      </c>
      <c r="M125" s="31">
        <v>3018</v>
      </c>
      <c r="O125" s="29"/>
      <c r="P125" s="31">
        <v>1685.5676294</v>
      </c>
      <c r="Q125" s="19">
        <v>1.1277165080660999E-11</v>
      </c>
      <c r="R125" s="29">
        <v>6.6161160784148703E-14</v>
      </c>
    </row>
    <row r="126" spans="1:22" x14ac:dyDescent="0.3">
      <c r="A126" s="12">
        <v>7</v>
      </c>
      <c r="B126" s="12">
        <v>9</v>
      </c>
      <c r="C126" s="36">
        <v>1</v>
      </c>
      <c r="D126" s="16">
        <v>0</v>
      </c>
      <c r="E126" s="16">
        <v>0</v>
      </c>
      <c r="F126">
        <v>6435</v>
      </c>
      <c r="G126" s="25">
        <v>5.128205128205128E-2</v>
      </c>
      <c r="H126" s="26">
        <v>36.861227661227659</v>
      </c>
      <c r="I126" s="26">
        <v>17.763582799999998</v>
      </c>
      <c r="J126" s="26">
        <v>34.003315099999995</v>
      </c>
      <c r="K126" s="19">
        <v>6.5630009152964791E-13</v>
      </c>
      <c r="L126" s="29">
        <v>1.3332598889186014E-16</v>
      </c>
      <c r="M126" s="31"/>
      <c r="O126" s="29"/>
      <c r="P126" s="31"/>
      <c r="R126" s="29"/>
    </row>
    <row r="127" spans="1:22" x14ac:dyDescent="0.3">
      <c r="A127" s="12">
        <v>7</v>
      </c>
      <c r="B127" s="12">
        <v>10</v>
      </c>
      <c r="C127" s="36">
        <v>3</v>
      </c>
      <c r="D127" s="16">
        <v>0</v>
      </c>
      <c r="E127" s="16">
        <v>0</v>
      </c>
      <c r="F127">
        <v>11440</v>
      </c>
      <c r="G127" s="57">
        <v>6.8531468531468534E-2</v>
      </c>
      <c r="H127" s="58">
        <v>40.034090909090907</v>
      </c>
      <c r="I127" s="58">
        <v>33.343518899999999</v>
      </c>
      <c r="J127" s="58">
        <v>65.172876599999995</v>
      </c>
      <c r="K127" s="55">
        <v>6.2593631582221922E-13</v>
      </c>
      <c r="L127" s="56">
        <v>1.3669762423730614E-16</v>
      </c>
      <c r="M127" s="31"/>
      <c r="O127" s="29"/>
      <c r="P127" s="31"/>
      <c r="R127" s="29"/>
    </row>
    <row r="128" spans="1:22" x14ac:dyDescent="0.3">
      <c r="A128" s="12">
        <v>7</v>
      </c>
      <c r="B128" s="12">
        <v>11</v>
      </c>
      <c r="C128" s="36">
        <v>1</v>
      </c>
      <c r="D128" s="16">
        <v>0</v>
      </c>
      <c r="E128" s="16">
        <v>0</v>
      </c>
      <c r="F128">
        <v>19448</v>
      </c>
      <c r="G128" s="57">
        <v>7.3580830933772115E-2</v>
      </c>
      <c r="H128" s="58">
        <v>43.302858905800079</v>
      </c>
      <c r="I128" s="58">
        <v>60.663565300000002</v>
      </c>
      <c r="J128" s="58">
        <v>121.9182672</v>
      </c>
      <c r="K128" s="55">
        <v>6.2534367256046993E-13</v>
      </c>
      <c r="L128" s="56">
        <v>1.3162365042648978E-16</v>
      </c>
      <c r="M128" s="31"/>
      <c r="O128" s="29"/>
      <c r="P128" s="31"/>
      <c r="R128" s="29"/>
    </row>
    <row r="129" spans="1:18" x14ac:dyDescent="0.3">
      <c r="A129" s="12">
        <v>7</v>
      </c>
      <c r="B129" s="12">
        <v>12</v>
      </c>
      <c r="C129" s="36">
        <v>1</v>
      </c>
      <c r="D129" s="16">
        <v>0</v>
      </c>
      <c r="E129" s="16">
        <v>0</v>
      </c>
      <c r="F129">
        <v>31824</v>
      </c>
      <c r="G129" s="57">
        <v>8.1636500754147814E-2</v>
      </c>
      <c r="H129" s="58">
        <v>45.678450226244344</v>
      </c>
      <c r="I129" s="58">
        <v>108.4396405</v>
      </c>
      <c r="J129" s="58">
        <v>216.4531848</v>
      </c>
      <c r="K129" s="55">
        <v>6.3353686354549404E-13</v>
      </c>
      <c r="L129" s="56">
        <v>1.3356555040248495E-16</v>
      </c>
      <c r="M129" s="31"/>
      <c r="O129" s="29"/>
      <c r="P129" s="31"/>
      <c r="R129" s="29"/>
    </row>
    <row r="130" spans="1:18" x14ac:dyDescent="0.3">
      <c r="A130" s="20">
        <v>8</v>
      </c>
      <c r="B130" s="20">
        <v>2</v>
      </c>
      <c r="C130" s="33">
        <v>20</v>
      </c>
      <c r="D130" s="34">
        <v>1</v>
      </c>
      <c r="E130" s="34">
        <v>20</v>
      </c>
      <c r="F130" s="35">
        <v>9</v>
      </c>
      <c r="G130" s="21">
        <v>0</v>
      </c>
      <c r="H130" s="22">
        <v>24.672222222222224</v>
      </c>
      <c r="I130" s="22">
        <v>1.62478E-2</v>
      </c>
      <c r="J130" s="22">
        <v>6.2447779999999987E-2</v>
      </c>
      <c r="K130" s="23">
        <v>2.2763073738001108E-15</v>
      </c>
      <c r="L130" s="27">
        <v>1.7026884880835408E-16</v>
      </c>
      <c r="M130" s="30">
        <v>23.6435791</v>
      </c>
      <c r="N130" s="23">
        <v>2.9351876103079337E-15</v>
      </c>
      <c r="O130" s="27">
        <v>2.0445148073923588E-15</v>
      </c>
      <c r="P130" s="30">
        <v>2.1855144999999999E-2</v>
      </c>
      <c r="Q130" s="23">
        <v>2.0529784305652131E-14</v>
      </c>
      <c r="R130" s="27">
        <v>2.4953314283912957E-15</v>
      </c>
    </row>
    <row r="131" spans="1:18" x14ac:dyDescent="0.3">
      <c r="A131" s="20">
        <v>8</v>
      </c>
      <c r="B131" s="20">
        <v>3</v>
      </c>
      <c r="C131" s="33">
        <v>20</v>
      </c>
      <c r="D131" s="34">
        <v>1</v>
      </c>
      <c r="E131" s="34">
        <v>20</v>
      </c>
      <c r="F131" s="35">
        <v>45</v>
      </c>
      <c r="G131" s="21">
        <v>4.4444444444444444E-3</v>
      </c>
      <c r="H131" s="22">
        <v>25.182222222222222</v>
      </c>
      <c r="I131" s="22">
        <v>7.9699215000000018E-2</v>
      </c>
      <c r="J131" s="22">
        <v>0.20677629</v>
      </c>
      <c r="K131" s="23">
        <v>1.057704887574212E-14</v>
      </c>
      <c r="L131" s="27">
        <v>1.530270217387647E-16</v>
      </c>
      <c r="M131" s="30">
        <v>118.63456050000001</v>
      </c>
      <c r="N131" s="23">
        <v>4.9439010770997147E-14</v>
      </c>
      <c r="O131" s="27">
        <v>7.0573514426460761E-15</v>
      </c>
      <c r="P131" s="30">
        <v>7.3918565000000006E-2</v>
      </c>
      <c r="Q131" s="23">
        <v>6.9944896114621002E-14</v>
      </c>
      <c r="R131" s="27">
        <v>3.3811743531351333E-15</v>
      </c>
    </row>
    <row r="132" spans="1:18" x14ac:dyDescent="0.3">
      <c r="A132" s="20">
        <v>8</v>
      </c>
      <c r="B132" s="20">
        <v>4</v>
      </c>
      <c r="C132" s="33">
        <v>20</v>
      </c>
      <c r="D132" s="34">
        <v>1</v>
      </c>
      <c r="E132" s="34">
        <v>20</v>
      </c>
      <c r="F132" s="35">
        <v>165</v>
      </c>
      <c r="G132" s="21">
        <v>9.0909090909090905E-3</v>
      </c>
      <c r="H132" s="22">
        <v>27.092727272727274</v>
      </c>
      <c r="I132" s="22">
        <v>0.31296696499999999</v>
      </c>
      <c r="J132" s="22">
        <v>0.68351704000000002</v>
      </c>
      <c r="K132" s="23">
        <v>8.2852415828189899E-15</v>
      </c>
      <c r="L132" s="27">
        <v>1.4602782396610445E-16</v>
      </c>
      <c r="M132" s="30">
        <v>447.86</v>
      </c>
      <c r="N132" s="23">
        <v>5.6398999999999998E-12</v>
      </c>
      <c r="O132" s="27">
        <v>1.1922E-13</v>
      </c>
      <c r="P132" s="30">
        <v>0.57182594500000017</v>
      </c>
      <c r="Q132" s="23">
        <v>4.8740429671053384E-12</v>
      </c>
      <c r="R132" s="27">
        <v>6.3114784709227614E-15</v>
      </c>
    </row>
    <row r="133" spans="1:18" x14ac:dyDescent="0.3">
      <c r="A133" s="20">
        <v>8</v>
      </c>
      <c r="B133" s="20">
        <v>5</v>
      </c>
      <c r="C133" s="33">
        <v>5</v>
      </c>
      <c r="D133" s="34">
        <v>1</v>
      </c>
      <c r="E133" s="34">
        <v>5</v>
      </c>
      <c r="F133" s="35">
        <v>495</v>
      </c>
      <c r="G133" s="21">
        <v>2.181818181818182E-2</v>
      </c>
      <c r="H133" s="22">
        <v>28.631111111111114</v>
      </c>
      <c r="I133" s="22">
        <v>1.2718668200000001</v>
      </c>
      <c r="J133" s="22">
        <v>2.2601355399999998</v>
      </c>
      <c r="K133" s="23">
        <v>7.8760019110267406E-14</v>
      </c>
      <c r="L133" s="27">
        <v>1.4347197357095355E-16</v>
      </c>
      <c r="M133" s="30">
        <v>1452.2390227000001</v>
      </c>
      <c r="N133" s="23">
        <v>6.5159999999999998E-11</v>
      </c>
      <c r="O133" s="27">
        <v>2.0218000000000001E-12</v>
      </c>
      <c r="P133" s="30">
        <v>16.605177619999999</v>
      </c>
      <c r="Q133" s="23">
        <v>1.0037859724765948E-9</v>
      </c>
      <c r="R133" s="27">
        <v>8.1828546814202134E-14</v>
      </c>
    </row>
    <row r="134" spans="1:18" x14ac:dyDescent="0.3">
      <c r="A134" s="20">
        <v>8</v>
      </c>
      <c r="B134" s="20">
        <v>6</v>
      </c>
      <c r="C134" s="33">
        <v>5</v>
      </c>
      <c r="D134" s="34">
        <v>0</v>
      </c>
      <c r="E134" s="34">
        <v>1</v>
      </c>
      <c r="F134" s="35">
        <v>1287</v>
      </c>
      <c r="G134" s="21">
        <v>3.2634032634032632E-2</v>
      </c>
      <c r="H134" s="22">
        <v>31.491219891219892</v>
      </c>
      <c r="I134" s="22">
        <v>3.7751415400000008</v>
      </c>
      <c r="J134" s="22">
        <v>6.4819743799999996</v>
      </c>
      <c r="K134" s="23">
        <v>2.2529800320736209E-13</v>
      </c>
      <c r="L134" s="27">
        <v>1.4337196158674879E-16</v>
      </c>
      <c r="M134" s="30">
        <v>4870.7439999999997</v>
      </c>
      <c r="N134" s="23">
        <v>1.1373009837861E-9</v>
      </c>
      <c r="O134" s="27">
        <v>5.1521188155148796E-12</v>
      </c>
      <c r="P134" s="30">
        <v>137.469391</v>
      </c>
      <c r="Q134" s="23">
        <v>4.3084588070080829E-13</v>
      </c>
      <c r="R134" s="27">
        <v>1.2091861872471832E-14</v>
      </c>
    </row>
    <row r="135" spans="1:18" x14ac:dyDescent="0.3">
      <c r="A135" s="20">
        <v>8</v>
      </c>
      <c r="B135" s="20">
        <v>7</v>
      </c>
      <c r="C135" s="33">
        <v>5</v>
      </c>
      <c r="D135" s="34">
        <v>0</v>
      </c>
      <c r="E135" s="34">
        <v>1</v>
      </c>
      <c r="F135" s="35">
        <v>3003</v>
      </c>
      <c r="G135" s="21">
        <v>4.295704295704296E-2</v>
      </c>
      <c r="H135" s="22">
        <v>34.101454101454102</v>
      </c>
      <c r="I135" s="22">
        <v>9.568009166666668</v>
      </c>
      <c r="J135" s="22">
        <v>16.457347866666666</v>
      </c>
      <c r="K135" s="23">
        <v>2.0120539777576654E-13</v>
      </c>
      <c r="L135" s="27">
        <v>1.3640217132197329E-16</v>
      </c>
      <c r="M135" s="30"/>
      <c r="N135" s="23"/>
      <c r="O135" s="27"/>
      <c r="P135" s="30">
        <v>1508.3916630000001</v>
      </c>
      <c r="Q135" s="23">
        <v>7.6430337387020495E-12</v>
      </c>
      <c r="R135" s="27">
        <v>3.1131586355670498E-14</v>
      </c>
    </row>
    <row r="136" spans="1:18" x14ac:dyDescent="0.3">
      <c r="A136" s="20">
        <v>8</v>
      </c>
      <c r="B136" s="20">
        <v>8</v>
      </c>
      <c r="C136" s="33">
        <v>3</v>
      </c>
      <c r="D136" s="34">
        <v>0</v>
      </c>
      <c r="E136" s="34">
        <v>0</v>
      </c>
      <c r="F136" s="35">
        <v>6435</v>
      </c>
      <c r="G136" s="21">
        <v>6.3869463869463863E-2</v>
      </c>
      <c r="H136" s="22">
        <v>37.119813519813519</v>
      </c>
      <c r="I136" s="22">
        <v>22.247449</v>
      </c>
      <c r="J136" s="22">
        <v>39.216944900000001</v>
      </c>
      <c r="K136" s="23">
        <v>2.8085836576001143E-13</v>
      </c>
      <c r="L136" s="27">
        <v>1.3979665432003479E-16</v>
      </c>
      <c r="M136" s="30"/>
      <c r="N136" s="23"/>
      <c r="O136" s="27"/>
      <c r="P136" s="30"/>
      <c r="Q136" s="23"/>
      <c r="R136" s="27"/>
    </row>
    <row r="137" spans="1:18" x14ac:dyDescent="0.3">
      <c r="A137" s="12">
        <v>9</v>
      </c>
      <c r="B137" s="12">
        <v>2</v>
      </c>
      <c r="C137" s="36">
        <v>20</v>
      </c>
      <c r="D137" s="16">
        <v>1</v>
      </c>
      <c r="E137" s="16">
        <v>20</v>
      </c>
      <c r="F137" s="37">
        <v>10</v>
      </c>
      <c r="G137" s="47">
        <v>0</v>
      </c>
      <c r="H137" s="48">
        <v>26.159999999999989</v>
      </c>
      <c r="I137" s="48">
        <v>2.0146089999999998E-2</v>
      </c>
      <c r="J137" s="48">
        <v>6.709292E-2</v>
      </c>
      <c r="K137" s="19">
        <v>2.6942737726797901E-15</v>
      </c>
      <c r="L137" s="29">
        <v>1.6673640139720562E-16</v>
      </c>
      <c r="M137" s="49">
        <v>262.76</v>
      </c>
      <c r="N137" s="19">
        <v>8.8272616808598999E-16</v>
      </c>
      <c r="O137" s="29">
        <v>4.1198709954403898E-16</v>
      </c>
      <c r="P137" s="49">
        <v>2.1355899999999997E-2</v>
      </c>
      <c r="Q137" s="19">
        <v>1.171781150147353E-14</v>
      </c>
      <c r="R137" s="29">
        <v>2.5014555193966096E-15</v>
      </c>
    </row>
    <row r="138" spans="1:18" x14ac:dyDescent="0.3">
      <c r="A138" s="12">
        <v>9</v>
      </c>
      <c r="B138" s="12">
        <v>3</v>
      </c>
      <c r="C138" s="36">
        <v>20</v>
      </c>
      <c r="D138" s="16">
        <v>0</v>
      </c>
      <c r="E138" s="16">
        <v>20</v>
      </c>
      <c r="F138" s="37">
        <v>55</v>
      </c>
      <c r="G138" s="47">
        <v>5.4545454545454541E-3</v>
      </c>
      <c r="H138" s="48">
        <v>27.351818181818182</v>
      </c>
      <c r="I138" s="48">
        <v>0.11100401000000001</v>
      </c>
      <c r="J138" s="48">
        <v>0.26641277499999994</v>
      </c>
      <c r="K138" s="19">
        <v>8.2694426505685226E-15</v>
      </c>
      <c r="L138" s="29">
        <v>1.555432197486837E-16</v>
      </c>
      <c r="M138" s="49">
        <v>0</v>
      </c>
      <c r="N138" s="19">
        <v>0</v>
      </c>
      <c r="O138" s="29">
        <v>0</v>
      </c>
      <c r="P138" s="49">
        <v>0.11367843</v>
      </c>
      <c r="Q138" s="19">
        <v>1.7545189582087727E-13</v>
      </c>
      <c r="R138" s="29">
        <v>1.0312596515116375E-14</v>
      </c>
    </row>
    <row r="139" spans="1:18" x14ac:dyDescent="0.3">
      <c r="A139" s="12">
        <v>9</v>
      </c>
      <c r="B139" s="12">
        <v>4</v>
      </c>
      <c r="C139" s="36">
        <v>20</v>
      </c>
      <c r="D139" s="16">
        <v>0</v>
      </c>
      <c r="E139" s="16">
        <v>20</v>
      </c>
      <c r="F139" s="37">
        <v>220</v>
      </c>
      <c r="G139" s="47">
        <v>8.8636363636363635E-3</v>
      </c>
      <c r="H139" s="48">
        <v>28.218181818181819</v>
      </c>
      <c r="I139" s="48">
        <v>0.58622608500000006</v>
      </c>
      <c r="J139" s="48">
        <v>1.1054329600000004</v>
      </c>
      <c r="K139" s="19">
        <v>8.7389955707409441E-15</v>
      </c>
      <c r="L139" s="29">
        <v>1.5326890010715973E-16</v>
      </c>
      <c r="M139" s="49">
        <v>0</v>
      </c>
      <c r="N139" s="19">
        <v>0</v>
      </c>
      <c r="O139" s="29">
        <v>0</v>
      </c>
      <c r="P139" s="49">
        <v>1.8763886000000003</v>
      </c>
      <c r="Q139" s="19">
        <v>2.4658844390249433E-13</v>
      </c>
      <c r="R139" s="29">
        <v>7.5964544782127676E-15</v>
      </c>
    </row>
    <row r="140" spans="1:18" x14ac:dyDescent="0.3">
      <c r="A140" s="12">
        <v>9</v>
      </c>
      <c r="B140" s="12">
        <v>5</v>
      </c>
      <c r="C140" s="36">
        <v>5</v>
      </c>
      <c r="D140" s="16">
        <v>0</v>
      </c>
      <c r="E140" s="16">
        <v>5</v>
      </c>
      <c r="F140" s="37">
        <v>715</v>
      </c>
      <c r="G140" s="47">
        <v>1.6223776223776222E-2</v>
      </c>
      <c r="H140" s="48">
        <v>30.224895104895108</v>
      </c>
      <c r="I140" s="48">
        <v>2.4864242399999998</v>
      </c>
      <c r="J140" s="48">
        <v>4.0314480000000001</v>
      </c>
      <c r="K140" s="19">
        <v>8.6235865927269656E-14</v>
      </c>
      <c r="L140" s="29">
        <v>1.4710509283326004E-16</v>
      </c>
      <c r="M140" s="49"/>
      <c r="O140" s="29"/>
      <c r="P140" s="49">
        <v>32.783799999999999</v>
      </c>
      <c r="Q140" s="19">
        <v>1.0659570155913801E-12</v>
      </c>
      <c r="R140" s="29">
        <v>2.9760269613620403E-14</v>
      </c>
    </row>
    <row r="141" spans="1:18" x14ac:dyDescent="0.3">
      <c r="A141" s="12">
        <v>9</v>
      </c>
      <c r="B141" s="12">
        <v>6</v>
      </c>
      <c r="C141" s="36">
        <v>5</v>
      </c>
      <c r="D141" s="16">
        <v>0</v>
      </c>
      <c r="E141" s="16">
        <v>1</v>
      </c>
      <c r="F141" s="37">
        <v>2002</v>
      </c>
      <c r="G141" s="47">
        <v>3.3633033633033632E-2</v>
      </c>
      <c r="H141" s="48">
        <v>33.105061605061607</v>
      </c>
      <c r="I141" s="48">
        <v>8.0991151000000006</v>
      </c>
      <c r="J141" s="48">
        <v>12.6557928</v>
      </c>
      <c r="K141" s="19">
        <v>2.3772834604430109E-13</v>
      </c>
      <c r="L141" s="29">
        <v>1.4636468803949842E-16</v>
      </c>
      <c r="M141" s="49"/>
      <c r="O141" s="29"/>
      <c r="P141" s="49">
        <v>658.49058000000002</v>
      </c>
      <c r="Q141" s="19">
        <v>5.6507574500306103E-12</v>
      </c>
      <c r="R141" s="29">
        <v>1.66244160045748E-14</v>
      </c>
    </row>
    <row r="142" spans="1:18" x14ac:dyDescent="0.3">
      <c r="A142" s="20">
        <v>10</v>
      </c>
      <c r="B142" s="20">
        <v>2</v>
      </c>
      <c r="C142" s="33">
        <v>20</v>
      </c>
      <c r="D142" s="34">
        <v>0</v>
      </c>
      <c r="E142" s="34">
        <v>20</v>
      </c>
      <c r="F142" s="35">
        <v>11</v>
      </c>
      <c r="G142" s="21">
        <v>0</v>
      </c>
      <c r="H142" s="22">
        <v>25.56818181818182</v>
      </c>
      <c r="I142" s="22">
        <v>2.6406255E-2</v>
      </c>
      <c r="J142" s="22">
        <v>7.6054860000000002E-2</v>
      </c>
      <c r="K142" s="23">
        <v>2.1471402543570415E-14</v>
      </c>
      <c r="L142" s="27">
        <v>1.7790224233587779E-16</v>
      </c>
      <c r="M142" s="30">
        <v>0</v>
      </c>
      <c r="N142" s="23"/>
      <c r="O142" s="27"/>
      <c r="P142" s="30">
        <v>2.8817240000000001E-2</v>
      </c>
      <c r="Q142" s="23">
        <v>9.5996073222938524E-15</v>
      </c>
      <c r="R142" s="27">
        <v>2.3627936808642232E-15</v>
      </c>
    </row>
    <row r="143" spans="1:18" x14ac:dyDescent="0.3">
      <c r="A143" s="20">
        <v>10</v>
      </c>
      <c r="B143" s="20">
        <v>3</v>
      </c>
      <c r="C143" s="33">
        <v>20</v>
      </c>
      <c r="D143" s="34">
        <v>0</v>
      </c>
      <c r="E143" s="34">
        <v>20</v>
      </c>
      <c r="F143" s="35">
        <v>66</v>
      </c>
      <c r="G143" s="21">
        <v>9.0909090909090905E-3</v>
      </c>
      <c r="H143" s="22">
        <v>28.922727272727268</v>
      </c>
      <c r="I143" s="22">
        <v>0.15569002500000001</v>
      </c>
      <c r="J143" s="22">
        <v>0.34924788499999998</v>
      </c>
      <c r="K143" s="23">
        <v>6.799722922474496E-15</v>
      </c>
      <c r="L143" s="27">
        <v>1.6158123147426539E-16</v>
      </c>
      <c r="M143" s="30">
        <v>0</v>
      </c>
      <c r="N143" s="23"/>
      <c r="O143" s="27"/>
      <c r="P143" s="30">
        <v>0.15541465500000001</v>
      </c>
      <c r="Q143" s="23">
        <v>1.0362659712798734E-13</v>
      </c>
      <c r="R143" s="27">
        <v>5.8626636190621184E-15</v>
      </c>
    </row>
    <row r="144" spans="1:18" x14ac:dyDescent="0.3">
      <c r="A144" s="20">
        <v>10</v>
      </c>
      <c r="B144" s="20">
        <v>4</v>
      </c>
      <c r="C144" s="33">
        <v>5</v>
      </c>
      <c r="D144" s="34">
        <v>0</v>
      </c>
      <c r="E144" s="34">
        <v>5</v>
      </c>
      <c r="F144" s="35">
        <v>286</v>
      </c>
      <c r="G144" s="21">
        <v>1.5384615384615385E-2</v>
      </c>
      <c r="H144" s="22">
        <v>29.650349650349646</v>
      </c>
      <c r="I144" s="22">
        <v>1.0465489800000001</v>
      </c>
      <c r="J144" s="22">
        <v>1.73802514</v>
      </c>
      <c r="K144" s="23">
        <v>1.3371668998344418E-14</v>
      </c>
      <c r="L144" s="27">
        <v>1.5643751577831873E-16</v>
      </c>
      <c r="M144" s="30">
        <v>0</v>
      </c>
      <c r="N144" s="23"/>
      <c r="O144" s="27"/>
      <c r="P144" s="30">
        <v>5.3976198599999998</v>
      </c>
      <c r="Q144" s="23">
        <v>1.9139794237857397E-13</v>
      </c>
      <c r="R144" s="27">
        <v>9.0825312062756657E-15</v>
      </c>
    </row>
    <row r="145" spans="1:22" x14ac:dyDescent="0.3">
      <c r="A145" s="20">
        <v>10</v>
      </c>
      <c r="B145" s="20">
        <v>5</v>
      </c>
      <c r="C145" s="33">
        <v>5</v>
      </c>
      <c r="D145" s="34">
        <v>0</v>
      </c>
      <c r="E145" s="34">
        <v>1</v>
      </c>
      <c r="F145" s="35">
        <v>1001</v>
      </c>
      <c r="G145" s="21">
        <v>2.3576423576423578E-2</v>
      </c>
      <c r="H145" s="22">
        <v>32.218181818181819</v>
      </c>
      <c r="I145" s="22">
        <v>4.4841086600000004</v>
      </c>
      <c r="J145" s="22">
        <v>6.7989622000000001</v>
      </c>
      <c r="K145" s="23">
        <v>2.2747080311189355E-13</v>
      </c>
      <c r="L145" s="27">
        <v>1.546833640418733E-16</v>
      </c>
      <c r="M145" s="30">
        <v>0</v>
      </c>
      <c r="N145" s="23"/>
      <c r="O145" s="27"/>
      <c r="P145" s="30">
        <v>109.4554016</v>
      </c>
      <c r="Q145" s="23">
        <v>2.4497743224723677E-13</v>
      </c>
      <c r="R145" s="27">
        <v>1.0429719207744357E-14</v>
      </c>
    </row>
    <row r="146" spans="1:22" x14ac:dyDescent="0.3">
      <c r="A146" s="20">
        <v>10</v>
      </c>
      <c r="B146" s="20">
        <v>6</v>
      </c>
      <c r="C146" s="33">
        <v>5</v>
      </c>
      <c r="D146" s="34">
        <v>0</v>
      </c>
      <c r="E146" s="34">
        <v>1</v>
      </c>
      <c r="F146" s="35">
        <v>3003</v>
      </c>
      <c r="G146" s="21">
        <v>3.3300033300033303E-2</v>
      </c>
      <c r="H146" s="22">
        <v>33.957375957375959</v>
      </c>
      <c r="I146" s="22">
        <v>15.330990166666666</v>
      </c>
      <c r="J146" s="22">
        <v>22.921736533333334</v>
      </c>
      <c r="K146" s="23">
        <v>3.7056154758004255E-13</v>
      </c>
      <c r="L146" s="27">
        <v>1.53939850287635E-16</v>
      </c>
      <c r="M146" s="30">
        <v>0</v>
      </c>
      <c r="N146" s="23"/>
      <c r="O146" s="27"/>
      <c r="P146" s="30">
        <v>2574.1812619000002</v>
      </c>
      <c r="Q146" s="23">
        <v>4.2236683816552268E-12</v>
      </c>
      <c r="R146" s="27">
        <v>2.2616696280792418E-14</v>
      </c>
    </row>
    <row r="147" spans="1:22" x14ac:dyDescent="0.3">
      <c r="A147" s="20">
        <v>10</v>
      </c>
      <c r="B147" s="64">
        <v>7</v>
      </c>
      <c r="C147" s="34">
        <v>1</v>
      </c>
      <c r="D147" s="34">
        <v>0</v>
      </c>
      <c r="E147" s="34">
        <v>0</v>
      </c>
      <c r="F147" s="35">
        <v>8008</v>
      </c>
      <c r="G147" s="21">
        <v>5.6818181818181816E-2</v>
      </c>
      <c r="H147" s="22">
        <v>38.15734265734266</v>
      </c>
      <c r="I147" s="22">
        <v>44.146962299999998</v>
      </c>
      <c r="J147" s="22">
        <v>67.346488899999997</v>
      </c>
      <c r="K147" s="23">
        <v>5.1125671096529199E-13</v>
      </c>
      <c r="L147" s="27">
        <v>1.5018341537302159E-16</v>
      </c>
      <c r="M147" s="30"/>
      <c r="N147" s="23"/>
      <c r="O147" s="27"/>
      <c r="P147" s="30"/>
      <c r="Q147" s="23"/>
      <c r="R147" s="27"/>
    </row>
    <row r="148" spans="1:22" x14ac:dyDescent="0.3">
      <c r="A148" s="20">
        <v>10</v>
      </c>
      <c r="B148" s="64">
        <v>8</v>
      </c>
      <c r="C148" s="34">
        <v>1</v>
      </c>
      <c r="D148" s="34">
        <v>0</v>
      </c>
      <c r="E148" s="34">
        <v>0</v>
      </c>
      <c r="F148" s="35">
        <v>19448</v>
      </c>
      <c r="G148" s="21">
        <v>7.8259975318798844E-2</v>
      </c>
      <c r="H148" s="22">
        <v>42.684903331962154</v>
      </c>
      <c r="I148" s="22">
        <v>118.1147433</v>
      </c>
      <c r="J148" s="22">
        <v>184.7420821</v>
      </c>
      <c r="K148" s="23">
        <v>8.4221942685889919E-13</v>
      </c>
      <c r="L148" s="27">
        <v>1.5005143304844946E-16</v>
      </c>
      <c r="M148" s="30"/>
      <c r="N148" s="23"/>
      <c r="O148" s="27"/>
      <c r="P148" s="30"/>
      <c r="Q148" s="23"/>
      <c r="R148" s="27"/>
    </row>
    <row r="149" spans="1:22" x14ac:dyDescent="0.3">
      <c r="A149" s="20">
        <v>10</v>
      </c>
      <c r="B149" s="64">
        <v>10</v>
      </c>
      <c r="C149" s="34">
        <v>1</v>
      </c>
      <c r="D149" s="34">
        <v>0</v>
      </c>
      <c r="E149" s="34">
        <v>0</v>
      </c>
      <c r="F149" s="35">
        <v>92378</v>
      </c>
      <c r="G149" s="59">
        <v>0.10751477624542639</v>
      </c>
      <c r="H149" s="60">
        <v>48.643627270562256</v>
      </c>
      <c r="I149" s="60">
        <v>718.57001119999995</v>
      </c>
      <c r="J149" s="60">
        <v>1116.2019324999999</v>
      </c>
      <c r="K149" s="61">
        <v>7.5946377547801622E-13</v>
      </c>
      <c r="L149" s="62">
        <v>1.4883442879242569E-16</v>
      </c>
      <c r="M149" s="30"/>
      <c r="N149" s="23"/>
      <c r="O149" s="27"/>
      <c r="P149" s="30"/>
      <c r="Q149" s="23"/>
      <c r="R149" s="27"/>
      <c r="S149" s="70">
        <v>4943.8862541999997</v>
      </c>
      <c r="T149" s="70">
        <v>2703.3573000000001</v>
      </c>
      <c r="U149" s="67">
        <f>S149/J149</f>
        <v>4.42920417018719</v>
      </c>
      <c r="V149" s="67">
        <f>(S149-T149)/(J149-I149)</f>
        <v>5.6346808044860053</v>
      </c>
    </row>
    <row r="150" spans="1:22" x14ac:dyDescent="0.3">
      <c r="A150" s="12">
        <v>15</v>
      </c>
      <c r="B150" s="65">
        <v>2</v>
      </c>
      <c r="C150">
        <v>20</v>
      </c>
      <c r="D150" s="16">
        <v>0</v>
      </c>
      <c r="E150">
        <v>20</v>
      </c>
      <c r="F150" s="37">
        <v>16</v>
      </c>
      <c r="G150" s="47">
        <v>0</v>
      </c>
      <c r="H150" s="48">
        <v>31.496874999999999</v>
      </c>
      <c r="I150" s="48">
        <v>7.0628894999999997E-2</v>
      </c>
      <c r="J150" s="48">
        <v>0.15153119000000001</v>
      </c>
      <c r="K150" s="19">
        <v>1.686123664763437E-14</v>
      </c>
      <c r="L150" s="29">
        <v>1.9559561102866872E-16</v>
      </c>
      <c r="M150" s="49">
        <v>0</v>
      </c>
      <c r="O150" s="29"/>
      <c r="P150" s="49">
        <v>7.4035059999999986E-2</v>
      </c>
      <c r="Q150" s="19">
        <v>4.5381531497271838E-14</v>
      </c>
      <c r="R150" s="29">
        <v>4.5957663749455702E-15</v>
      </c>
    </row>
    <row r="151" spans="1:22" x14ac:dyDescent="0.3">
      <c r="A151" s="12">
        <v>15</v>
      </c>
      <c r="B151" s="65">
        <v>3</v>
      </c>
      <c r="C151">
        <v>20</v>
      </c>
      <c r="D151" s="16">
        <v>0</v>
      </c>
      <c r="E151">
        <v>20</v>
      </c>
      <c r="F151" s="37">
        <v>136</v>
      </c>
      <c r="G151" s="47">
        <v>5.8823529411764705E-3</v>
      </c>
      <c r="H151" s="48">
        <v>33.218382352941177</v>
      </c>
      <c r="I151" s="48">
        <v>1.4572636500000002</v>
      </c>
      <c r="J151" s="48">
        <v>1.9267980650000003</v>
      </c>
      <c r="K151" s="19">
        <v>1.2702716968080462E-13</v>
      </c>
      <c r="L151" s="29">
        <v>1.9023012387414769E-16</v>
      </c>
      <c r="M151" s="49">
        <v>0</v>
      </c>
      <c r="O151" s="29"/>
      <c r="P151" s="49">
        <v>1.9413491549999999</v>
      </c>
      <c r="Q151" s="19">
        <v>4.562120647996439E-13</v>
      </c>
      <c r="R151" s="29">
        <v>8.1226533092137531E-15</v>
      </c>
    </row>
    <row r="152" spans="1:22" x14ac:dyDescent="0.3">
      <c r="A152" s="12">
        <v>15</v>
      </c>
      <c r="B152" s="12">
        <v>4</v>
      </c>
      <c r="C152" s="36">
        <v>5</v>
      </c>
      <c r="D152" s="16">
        <v>0</v>
      </c>
      <c r="E152" s="16">
        <v>1</v>
      </c>
      <c r="F152" s="37">
        <v>816</v>
      </c>
      <c r="G152" s="47">
        <v>1.7973856209150325E-2</v>
      </c>
      <c r="H152" s="48">
        <v>35.584150326797385</v>
      </c>
      <c r="I152" s="48">
        <v>8.147148399999999</v>
      </c>
      <c r="J152" s="48">
        <v>10.755881666666667</v>
      </c>
      <c r="K152" s="19">
        <v>1.0641761108410615E-14</v>
      </c>
      <c r="L152" s="29">
        <v>1.8208501473401676E-16</v>
      </c>
      <c r="M152" s="49">
        <v>0</v>
      </c>
      <c r="O152" s="29"/>
      <c r="P152" s="49">
        <v>169.7973776</v>
      </c>
      <c r="Q152" s="19">
        <v>2.1224383968137248E-12</v>
      </c>
      <c r="R152" s="29">
        <v>3.8106660570468187E-14</v>
      </c>
    </row>
    <row r="153" spans="1:22" x14ac:dyDescent="0.3">
      <c r="A153" s="12">
        <v>15</v>
      </c>
      <c r="B153" s="12">
        <v>5</v>
      </c>
      <c r="C153" s="36">
        <v>1</v>
      </c>
      <c r="D153" s="16">
        <v>0</v>
      </c>
      <c r="E153" s="16">
        <v>0</v>
      </c>
      <c r="F153" s="37">
        <v>3876</v>
      </c>
      <c r="G153" s="47">
        <v>3.7151000000000003E-2</v>
      </c>
      <c r="H153" s="48">
        <v>39.209000000000003</v>
      </c>
      <c r="I153" s="48">
        <v>44.6843</v>
      </c>
      <c r="J153" s="48">
        <v>60.979700000000001</v>
      </c>
      <c r="K153" s="19">
        <v>1.978E-13</v>
      </c>
      <c r="L153" s="29">
        <v>1.7699999999999999E-16</v>
      </c>
      <c r="M153" s="49"/>
      <c r="O153" s="29"/>
      <c r="P153" s="49"/>
      <c r="R153" s="29"/>
    </row>
    <row r="154" spans="1:22" x14ac:dyDescent="0.3">
      <c r="A154" s="20">
        <v>20</v>
      </c>
      <c r="B154" s="20">
        <v>2</v>
      </c>
      <c r="C154" s="33">
        <v>20</v>
      </c>
      <c r="D154" s="34">
        <v>0</v>
      </c>
      <c r="E154" s="34">
        <v>20</v>
      </c>
      <c r="F154" s="35">
        <v>21</v>
      </c>
      <c r="G154" s="21">
        <v>4.7619047619047623E-3</v>
      </c>
      <c r="H154" s="22">
        <v>35.776190476190472</v>
      </c>
      <c r="I154" s="22">
        <v>0.19213794499999998</v>
      </c>
      <c r="J154" s="22">
        <v>0.31227701999999996</v>
      </c>
      <c r="K154" s="23">
        <v>6.1717245306926428E-15</v>
      </c>
      <c r="L154" s="27">
        <v>2.1820056065069372E-16</v>
      </c>
      <c r="M154" s="30">
        <v>0</v>
      </c>
      <c r="N154" s="23"/>
      <c r="O154" s="27"/>
      <c r="P154" s="30">
        <v>0.18962910499999996</v>
      </c>
      <c r="Q154" s="23">
        <v>4.7064330011845567E-14</v>
      </c>
      <c r="R154" s="27">
        <v>5.3151656025545146E-15</v>
      </c>
    </row>
    <row r="155" spans="1:22" x14ac:dyDescent="0.3">
      <c r="A155" s="20">
        <v>20</v>
      </c>
      <c r="B155" s="20">
        <v>3</v>
      </c>
      <c r="C155" s="33">
        <v>5</v>
      </c>
      <c r="D155" s="34">
        <v>0</v>
      </c>
      <c r="E155" s="34">
        <v>5</v>
      </c>
      <c r="F155" s="35">
        <v>231</v>
      </c>
      <c r="G155" s="21">
        <v>1.7316017316017316E-3</v>
      </c>
      <c r="H155" s="22">
        <v>37.161038961038955</v>
      </c>
      <c r="I155" s="22">
        <v>4.6199022999999997</v>
      </c>
      <c r="J155" s="22">
        <v>5.5634209600000002</v>
      </c>
      <c r="K155" s="23">
        <v>1.1416262439651864E-14</v>
      </c>
      <c r="L155" s="27">
        <v>2.0703831061008342E-16</v>
      </c>
      <c r="M155" s="30">
        <v>0</v>
      </c>
      <c r="N155" s="23"/>
      <c r="O155" s="27"/>
      <c r="P155" s="30">
        <v>13.794577720000001</v>
      </c>
      <c r="Q155" s="23">
        <v>2.6971918739271963E-13</v>
      </c>
      <c r="R155" s="27">
        <v>1.1676308993650923E-14</v>
      </c>
      <c r="S155" s="69">
        <v>14.95542</v>
      </c>
      <c r="T155" s="69">
        <v>9.9762000000000004</v>
      </c>
      <c r="U155" s="67">
        <f>S155/J155</f>
        <v>2.688169762368656</v>
      </c>
      <c r="V155" s="67">
        <f>(S155-T155)/(J155-I155)</f>
        <v>5.2772883156333092</v>
      </c>
    </row>
    <row r="156" spans="1:22" x14ac:dyDescent="0.3">
      <c r="A156" s="20">
        <v>20</v>
      </c>
      <c r="B156" s="20">
        <v>4</v>
      </c>
      <c r="C156" s="33">
        <v>5</v>
      </c>
      <c r="D156" s="34">
        <v>0</v>
      </c>
      <c r="E156" s="34">
        <v>5</v>
      </c>
      <c r="F156" s="35">
        <v>1771</v>
      </c>
      <c r="G156" s="21">
        <v>2.4468285337850556E-2</v>
      </c>
      <c r="H156" s="22">
        <v>41.130623000188216</v>
      </c>
      <c r="I156" s="22">
        <v>36.979266966666671</v>
      </c>
      <c r="J156" s="22">
        <v>45.140964266666664</v>
      </c>
      <c r="K156" s="23">
        <v>2.3796102523966171E-13</v>
      </c>
      <c r="L156" s="27">
        <v>2.0511338980134735E-16</v>
      </c>
      <c r="M156" s="30">
        <v>0</v>
      </c>
      <c r="N156" s="23"/>
      <c r="O156" s="27"/>
      <c r="P156" s="32">
        <v>18.9506771</v>
      </c>
      <c r="Q156" s="24">
        <v>0</v>
      </c>
      <c r="R156" s="28">
        <v>0</v>
      </c>
    </row>
    <row r="157" spans="1:22" x14ac:dyDescent="0.3">
      <c r="A157" s="12">
        <v>30</v>
      </c>
      <c r="B157" s="12">
        <v>2</v>
      </c>
      <c r="C157" s="36">
        <v>20</v>
      </c>
      <c r="D157" s="16">
        <v>0</v>
      </c>
      <c r="E157" s="16">
        <v>20</v>
      </c>
      <c r="F157" s="37">
        <v>31</v>
      </c>
      <c r="G157" s="47">
        <v>0</v>
      </c>
      <c r="H157" s="48">
        <v>41.612903225806448</v>
      </c>
      <c r="I157" s="48">
        <v>1.0210149850000003</v>
      </c>
      <c r="J157" s="48">
        <v>1.2597854550000001</v>
      </c>
      <c r="K157" s="19">
        <v>8.5582296734420292E-15</v>
      </c>
      <c r="L157" s="29">
        <v>2.518069272681986E-16</v>
      </c>
      <c r="M157" s="49">
        <v>0</v>
      </c>
      <c r="O157" s="29"/>
      <c r="P157" s="49">
        <v>1.2790287900000001</v>
      </c>
      <c r="Q157" s="19">
        <v>2.9179799648931526E-13</v>
      </c>
      <c r="R157" s="29">
        <v>6.5689768415600145E-15</v>
      </c>
    </row>
    <row r="158" spans="1:22" x14ac:dyDescent="0.3">
      <c r="A158" s="20">
        <v>40</v>
      </c>
      <c r="B158" s="20">
        <v>2</v>
      </c>
      <c r="C158" s="33">
        <v>5</v>
      </c>
      <c r="D158" s="34">
        <v>0</v>
      </c>
      <c r="E158" s="34">
        <v>5</v>
      </c>
      <c r="F158" s="35">
        <v>41</v>
      </c>
      <c r="G158" s="21">
        <v>9.7560975609756097E-3</v>
      </c>
      <c r="H158" s="22">
        <v>48.556097560975601</v>
      </c>
      <c r="I158" s="22">
        <v>2.3820981400000001</v>
      </c>
      <c r="J158" s="22">
        <v>2.8433841800000001</v>
      </c>
      <c r="K158" s="23">
        <v>7.3951646897169031E-15</v>
      </c>
      <c r="L158" s="27">
        <v>2.7664237750967958E-16</v>
      </c>
      <c r="M158" s="30">
        <v>0</v>
      </c>
      <c r="N158" s="23"/>
      <c r="O158" s="27"/>
      <c r="P158" s="30">
        <v>6.3138266199999995</v>
      </c>
      <c r="Q158" s="23">
        <v>9.3527313112655728E-14</v>
      </c>
      <c r="R158" s="27">
        <v>7.1300527475026733E-15</v>
      </c>
    </row>
    <row r="159" spans="1:22" x14ac:dyDescent="0.3">
      <c r="A159" s="12">
        <v>50</v>
      </c>
      <c r="B159" s="12">
        <v>2</v>
      </c>
      <c r="C159" s="36">
        <v>5</v>
      </c>
      <c r="D159" s="16">
        <v>0</v>
      </c>
      <c r="E159" s="16">
        <v>5</v>
      </c>
      <c r="F159" s="37">
        <v>51</v>
      </c>
      <c r="G159" s="47">
        <v>7.8431372549019607E-3</v>
      </c>
      <c r="H159" s="48">
        <v>52.482352941176465</v>
      </c>
      <c r="I159" s="48">
        <v>4.4790898000000006</v>
      </c>
      <c r="J159" s="48">
        <v>5.1876860799999998</v>
      </c>
      <c r="K159" s="19">
        <v>1.5124330514439133E-14</v>
      </c>
      <c r="L159" s="29">
        <v>3.0654247787110837E-16</v>
      </c>
      <c r="M159" s="49">
        <v>0</v>
      </c>
      <c r="O159" s="29"/>
      <c r="P159" s="49">
        <v>21.992981719999996</v>
      </c>
      <c r="Q159" s="19">
        <v>2.0222888077500663E-13</v>
      </c>
      <c r="R159" s="29">
        <v>9.3758240873329806E-15</v>
      </c>
    </row>
    <row r="160" spans="1:22" x14ac:dyDescent="0.3">
      <c r="A160" s="20">
        <v>60</v>
      </c>
      <c r="B160" s="20">
        <v>2</v>
      </c>
      <c r="C160" s="33">
        <v>5</v>
      </c>
      <c r="D160" s="34">
        <v>0</v>
      </c>
      <c r="E160" s="34">
        <v>5</v>
      </c>
      <c r="F160" s="35">
        <v>61</v>
      </c>
      <c r="G160" s="21">
        <v>0</v>
      </c>
      <c r="H160" s="22">
        <v>56.009836065573765</v>
      </c>
      <c r="I160" s="22">
        <v>7.5207874399999994</v>
      </c>
      <c r="J160" s="22">
        <v>8.5283140599999996</v>
      </c>
      <c r="K160" s="23">
        <v>1.651343759813488E-14</v>
      </c>
      <c r="L160" s="27">
        <v>3.2130858892875223E-16</v>
      </c>
      <c r="M160" s="30">
        <v>0</v>
      </c>
      <c r="N160" s="23"/>
      <c r="O160" s="27"/>
      <c r="P160" s="30">
        <v>64.626304340000004</v>
      </c>
      <c r="Q160" s="23">
        <v>3.2534728724153973E-14</v>
      </c>
      <c r="R160" s="27">
        <v>7.9329691390372562E-15</v>
      </c>
      <c r="S160" s="69">
        <v>36.792900000000003</v>
      </c>
      <c r="T160" s="69">
        <v>31.407540000000001</v>
      </c>
      <c r="U160" s="67">
        <f>S160/J160</f>
        <v>4.3142055676125048</v>
      </c>
      <c r="V160" s="67">
        <f>(S160-T160)/(J160-I160)</f>
        <v>5.3451292433345348</v>
      </c>
    </row>
    <row r="161" spans="1:18" x14ac:dyDescent="0.3">
      <c r="A161" s="12">
        <v>100</v>
      </c>
      <c r="B161" s="12">
        <v>2</v>
      </c>
      <c r="C161" s="36">
        <v>1</v>
      </c>
      <c r="D161" s="16">
        <v>0</v>
      </c>
      <c r="E161" s="16">
        <v>0</v>
      </c>
      <c r="F161" s="37">
        <v>101</v>
      </c>
      <c r="G161" s="47">
        <v>0</v>
      </c>
      <c r="H161" s="48">
        <v>73.56435643564356</v>
      </c>
      <c r="I161" s="48">
        <v>34.633054600000001</v>
      </c>
      <c r="J161" s="48">
        <v>38.690378299999999</v>
      </c>
      <c r="K161" s="19">
        <v>2.3909098509220518E-13</v>
      </c>
      <c r="L161" s="29">
        <v>3.9287786047432685E-16</v>
      </c>
      <c r="M161" s="49">
        <v>0</v>
      </c>
      <c r="O161" s="29"/>
      <c r="P161" s="49">
        <v>0</v>
      </c>
      <c r="R161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</vt:lpstr>
      <vt:lpstr>Legend</vt:lpstr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Plestenjak, Bor</dc:creator>
  <cp:lastModifiedBy>Plestenjak, Bor</cp:lastModifiedBy>
  <dcterms:created xsi:type="dcterms:W3CDTF">2023-11-05T16:23:46Z</dcterms:created>
  <dcterms:modified xsi:type="dcterms:W3CDTF">2026-09-22T09:43:25Z</dcterms:modified>
</cp:coreProperties>
</file>