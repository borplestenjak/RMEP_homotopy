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Dropbox\MEP\RMEP_homotopy\"/>
    </mc:Choice>
  </mc:AlternateContent>
  <xr:revisionPtr revIDLastSave="0" documentId="13_ncr:1_{B6B606C1-51F9-46A5-81A5-8FEBECD31D81}" xr6:coauthVersionLast="47" xr6:coauthVersionMax="47" xr10:uidLastSave="{00000000-0000-0000-0000-000000000000}"/>
  <bookViews>
    <workbookView xWindow="25776" yWindow="348" windowWidth="19908" windowHeight="17028" xr2:uid="{00000000-000D-0000-FFFF-FFFF00000000}"/>
  </bookViews>
  <sheets>
    <sheet name="ARMA(1,1)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" l="1"/>
  <c r="P6" i="1"/>
  <c r="P2" i="1"/>
  <c r="P4" i="1"/>
  <c r="P10" i="1"/>
  <c r="P12" i="1"/>
  <c r="P14" i="1"/>
  <c r="P30" i="1"/>
  <c r="P28" i="1"/>
  <c r="P20" i="1"/>
  <c r="P18" i="1"/>
  <c r="P16" i="1"/>
  <c r="AD30" i="1"/>
  <c r="AD7" i="1"/>
  <c r="AD2" i="1"/>
  <c r="AD3" i="1"/>
  <c r="AD4" i="1"/>
  <c r="AD5" i="1"/>
  <c r="AD28" i="1"/>
  <c r="AD26" i="1"/>
  <c r="AD24" i="1"/>
  <c r="AD22" i="1"/>
  <c r="AD20" i="1"/>
  <c r="AD18" i="1"/>
  <c r="AD16" i="1"/>
  <c r="AD14" i="1"/>
  <c r="AD6" i="1"/>
  <c r="AD12" i="1"/>
  <c r="AD8" i="1"/>
  <c r="AD10" i="1"/>
</calcChain>
</file>

<file path=xl/sharedStrings.xml><?xml version="1.0" encoding="utf-8"?>
<sst xmlns="http://schemas.openxmlformats.org/spreadsheetml/2006/main" count="43" uniqueCount="32">
  <si>
    <t>n</t>
  </si>
  <si>
    <t>MultiParEig</t>
  </si>
  <si>
    <t>Macaulay</t>
  </si>
  <si>
    <t>remarks</t>
  </si>
  <si>
    <t>sols</t>
  </si>
  <si>
    <t>Homotopija najde 117, MultiParEig 119 in Macaulay 97 rešitev</t>
  </si>
  <si>
    <t>Homotopija najde 145 rešitev,  pri nekaterih so ralziker</t>
  </si>
  <si>
    <t>Pri nekaterih večkratniuh ničlahj so razlike</t>
  </si>
  <si>
    <t>Homotopija dobi nekaj večkrat</t>
  </si>
  <si>
    <t>homotopy*</t>
  </si>
  <si>
    <t>* pomenijo druge nastavitve</t>
  </si>
  <si>
    <t>PATHS</t>
  </si>
  <si>
    <t>homo/Multipar</t>
  </si>
  <si>
    <t>runs</t>
  </si>
  <si>
    <t>(10,10,10)</t>
  </si>
  <si>
    <t>max(res)</t>
  </si>
  <si>
    <t>avg(res)</t>
  </si>
  <si>
    <t>optres</t>
  </si>
  <si>
    <t>(5,5,5)</t>
  </si>
  <si>
    <t>(5,5,1)</t>
  </si>
  <si>
    <t>(3,3,0)</t>
  </si>
  <si>
    <t>(1,1,0)</t>
  </si>
  <si>
    <t>(1,0,0)</t>
  </si>
  <si>
    <t>New times</t>
  </si>
  <si>
    <t>PeakMem</t>
  </si>
  <si>
    <t>NewNew</t>
  </si>
  <si>
    <t>898MB</t>
  </si>
  <si>
    <t>3,8GB</t>
  </si>
  <si>
    <t>homotopy (GPU)</t>
  </si>
  <si>
    <t>homotopy new</t>
  </si>
  <si>
    <t>Sparse</t>
  </si>
  <si>
    <t>Razmerje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</si>
</sst>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_-;\-* #,##0.000_-;_-* &quot;-&quot;??_-;_-@_-"/>
    <numFmt numFmtId="165" formatCode="_-* #,##0.0_-;\-* #,##0.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11" fontId="0" fillId="0" borderId="0" xfId="0" applyNumberFormat="1"/>
    <xf numFmtId="165" fontId="0" fillId="0" borderId="0" xfId="1" applyNumberFormat="1" applyFont="1"/>
    <xf numFmtId="0" fontId="0" fillId="2" borderId="0" xfId="0" applyFill="1"/>
    <xf numFmtId="164" fontId="0" fillId="2" borderId="0" xfId="1" applyNumberFormat="1" applyFont="1" applyFill="1"/>
    <xf numFmtId="164" fontId="0" fillId="3" borderId="0" xfId="1" applyNumberFormat="1" applyFont="1" applyFill="1"/>
    <xf numFmtId="164" fontId="0" fillId="4" borderId="0" xfId="1" applyNumberFormat="1" applyFont="1" applyFill="1"/>
    <xf numFmtId="164" fontId="0" fillId="5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4"/>
  <sheetViews>
    <sheetView tabSelected="1" workbookViewId="0">
      <selection activeCell="P8" sqref="P8"/>
    </sheetView>
  </sheetViews>
  <sheetFormatPr defaultRowHeight="14.4" x14ac:dyDescent="0.3"/>
  <cols>
    <col min="1" max="1" width="7.33203125" customWidth="1"/>
    <col min="2" max="2" width="9.109375" customWidth="1"/>
    <col min="3" max="3" width="11.5546875" customWidth="1"/>
    <col min="4" max="4" width="7.33203125" customWidth="1"/>
    <col min="5" max="5" width="10.44140625" style="3" bestFit="1" customWidth="1"/>
    <col min="6" max="6" width="14.88671875" style="3" bestFit="1" customWidth="1"/>
    <col min="7" max="7" width="14.6640625" style="3" bestFit="1" customWidth="1"/>
    <col min="8" max="9" width="8.88671875" style="1"/>
    <col min="10" max="10" width="9.109375" style="1" bestFit="1" customWidth="1"/>
    <col min="11" max="14" width="11.6640625" style="5" customWidth="1"/>
    <col min="15" max="15" width="12.33203125" style="5" bestFit="1" customWidth="1"/>
    <col min="16" max="16" width="12.33203125" style="5" customWidth="1"/>
    <col min="17" max="19" width="11.6640625" style="1" customWidth="1"/>
    <col min="20" max="20" width="13" style="6" customWidth="1"/>
    <col min="21" max="23" width="13" style="1" customWidth="1"/>
    <col min="30" max="30" width="9.33203125" style="2" bestFit="1" customWidth="1"/>
  </cols>
  <sheetData>
    <row r="1" spans="1:31" x14ac:dyDescent="0.3">
      <c r="A1" t="s">
        <v>0</v>
      </c>
      <c r="B1" t="s">
        <v>4</v>
      </c>
      <c r="C1" t="s">
        <v>13</v>
      </c>
      <c r="D1" t="s">
        <v>11</v>
      </c>
      <c r="E1" s="3" t="s">
        <v>9</v>
      </c>
      <c r="F1" s="3" t="s">
        <v>29</v>
      </c>
      <c r="G1" s="3" t="s">
        <v>28</v>
      </c>
      <c r="H1" s="1" t="s">
        <v>15</v>
      </c>
      <c r="I1" s="1" t="s">
        <v>16</v>
      </c>
      <c r="J1" s="1" t="s">
        <v>17</v>
      </c>
      <c r="K1" s="5" t="s">
        <v>1</v>
      </c>
      <c r="L1" s="5" t="s">
        <v>23</v>
      </c>
      <c r="M1" s="5" t="s">
        <v>25</v>
      </c>
      <c r="N1" s="5" t="s">
        <v>30</v>
      </c>
      <c r="O1" s="5" t="s">
        <v>24</v>
      </c>
      <c r="P1" s="5" t="s">
        <v>31</v>
      </c>
      <c r="Q1" s="1" t="s">
        <v>15</v>
      </c>
      <c r="R1" s="1" t="s">
        <v>16</v>
      </c>
      <c r="S1" s="1" t="s">
        <v>17</v>
      </c>
      <c r="T1" s="6" t="s">
        <v>2</v>
      </c>
      <c r="U1" s="1" t="s">
        <v>15</v>
      </c>
      <c r="V1" s="1" t="s">
        <v>16</v>
      </c>
      <c r="W1" s="1" t="s">
        <v>17</v>
      </c>
      <c r="X1" t="s">
        <v>3</v>
      </c>
      <c r="AD1" s="2" t="s">
        <v>12</v>
      </c>
      <c r="AE1" t="s">
        <v>10</v>
      </c>
    </row>
    <row r="2" spans="1:31" x14ac:dyDescent="0.3">
      <c r="A2">
        <v>4</v>
      </c>
      <c r="B2">
        <v>35</v>
      </c>
      <c r="C2" t="s">
        <v>14</v>
      </c>
      <c r="D2">
        <v>110</v>
      </c>
      <c r="E2" s="4">
        <v>1.0988</v>
      </c>
      <c r="F2" s="4"/>
      <c r="G2" s="7">
        <v>0.57330000000000003</v>
      </c>
      <c r="K2" s="5">
        <v>7.8178999999999992E-3</v>
      </c>
      <c r="N2" s="7">
        <v>5.6540000000000002E-3</v>
      </c>
      <c r="P2" s="5">
        <f>G2/N2</f>
        <v>101.39724089140432</v>
      </c>
      <c r="T2" s="6">
        <v>0.45184000000000002</v>
      </c>
      <c r="AD2" s="2">
        <f t="shared" ref="AD2:AD8" si="0">E2/K2</f>
        <v>140.54925235677101</v>
      </c>
    </row>
    <row r="3" spans="1:31" x14ac:dyDescent="0.3">
      <c r="A3">
        <v>5</v>
      </c>
      <c r="B3">
        <v>49</v>
      </c>
      <c r="C3" t="s">
        <v>14</v>
      </c>
      <c r="D3">
        <v>182</v>
      </c>
      <c r="E3" s="4">
        <v>1.8861000000000001</v>
      </c>
      <c r="F3" s="4"/>
      <c r="G3" s="4"/>
      <c r="K3" s="5">
        <v>1.3233E-2</v>
      </c>
      <c r="T3" s="6">
        <v>2.58</v>
      </c>
      <c r="AD3" s="2">
        <f t="shared" si="0"/>
        <v>142.53003854001361</v>
      </c>
    </row>
    <row r="4" spans="1:31" x14ac:dyDescent="0.3">
      <c r="A4">
        <v>6</v>
      </c>
      <c r="B4">
        <v>63</v>
      </c>
      <c r="C4" t="s">
        <v>14</v>
      </c>
      <c r="D4">
        <v>272</v>
      </c>
      <c r="E4" s="4">
        <v>3.5832999999999999</v>
      </c>
      <c r="F4" s="4"/>
      <c r="G4" s="7">
        <v>1.659</v>
      </c>
      <c r="H4" s="1">
        <v>1.3E-14</v>
      </c>
      <c r="I4" s="1">
        <v>3.5999999999999998E-16</v>
      </c>
      <c r="J4" s="1">
        <v>6.4000000000000005E-17</v>
      </c>
      <c r="K4" s="5">
        <v>2.5798999999999999E-2</v>
      </c>
      <c r="N4" s="7">
        <v>1.6330000000000001E-2</v>
      </c>
      <c r="P4" s="5">
        <f>G4/N4</f>
        <v>101.59216166564605</v>
      </c>
      <c r="Q4" s="1">
        <v>3.3000000000000002E-9</v>
      </c>
      <c r="R4" s="1">
        <v>6.6999999999999996E-10</v>
      </c>
      <c r="S4" s="1">
        <v>5.7999999999999996E-16</v>
      </c>
      <c r="T4" s="6">
        <v>8.4389000000000003</v>
      </c>
      <c r="U4" s="1">
        <v>1.2E-2</v>
      </c>
      <c r="V4" s="1">
        <v>1.8E-3</v>
      </c>
      <c r="W4" s="1">
        <v>6.5000000000000003E-9</v>
      </c>
      <c r="AD4" s="2">
        <f t="shared" si="0"/>
        <v>138.8929803480755</v>
      </c>
    </row>
    <row r="5" spans="1:31" x14ac:dyDescent="0.3">
      <c r="A5">
        <v>7</v>
      </c>
      <c r="B5">
        <v>77</v>
      </c>
      <c r="C5" t="s">
        <v>18</v>
      </c>
      <c r="D5">
        <v>380</v>
      </c>
      <c r="E5" s="4">
        <v>5.54</v>
      </c>
      <c r="F5" s="4"/>
      <c r="G5" s="4"/>
      <c r="H5" s="1">
        <v>3.5999999999999998E-16</v>
      </c>
      <c r="I5" s="1">
        <v>4.1000000000000001E-17</v>
      </c>
      <c r="J5" s="1">
        <v>4.4E-17</v>
      </c>
      <c r="K5" s="5">
        <v>5.3487699999999999E-2</v>
      </c>
      <c r="Q5" s="1">
        <v>3.3000000000000002E-9</v>
      </c>
      <c r="R5" s="1">
        <v>7.7499999999999999E-9</v>
      </c>
      <c r="S5" s="1">
        <v>2.1999999999999999E-15</v>
      </c>
      <c r="T5" s="6">
        <v>32.259</v>
      </c>
      <c r="U5" s="1">
        <v>1.9E-2</v>
      </c>
      <c r="V5" s="1">
        <v>2.5000000000000001E-3</v>
      </c>
      <c r="W5" s="1">
        <v>9.9999999999999995E-7</v>
      </c>
      <c r="AD5" s="2">
        <f t="shared" si="0"/>
        <v>103.57521448856467</v>
      </c>
    </row>
    <row r="6" spans="1:31" x14ac:dyDescent="0.3">
      <c r="A6">
        <v>8</v>
      </c>
      <c r="B6">
        <v>91</v>
      </c>
      <c r="C6" t="s">
        <v>18</v>
      </c>
      <c r="D6">
        <v>506</v>
      </c>
      <c r="E6" s="4">
        <v>9.3277000000000001</v>
      </c>
      <c r="F6" s="4">
        <v>6.84</v>
      </c>
      <c r="G6" s="7">
        <v>3.0861999999999998</v>
      </c>
      <c r="H6" s="1">
        <v>5.1999999999999997E-16</v>
      </c>
      <c r="I6" s="1">
        <v>4.6000000000000002E-17</v>
      </c>
      <c r="J6" s="1">
        <v>4.7E-17</v>
      </c>
      <c r="K6" s="5">
        <v>9.3600000000000003E-2</v>
      </c>
      <c r="N6" s="7">
        <v>3.1649999999999998E-2</v>
      </c>
      <c r="P6" s="5">
        <f>G6/N6</f>
        <v>97.510268562401265</v>
      </c>
      <c r="Q6" s="1">
        <v>2.6000000000000001E-9</v>
      </c>
      <c r="R6" s="1">
        <v>4.8E-10</v>
      </c>
      <c r="S6" s="1">
        <v>1.4000000000000001E-15</v>
      </c>
      <c r="T6" s="6">
        <v>98.078000000000003</v>
      </c>
      <c r="U6" s="1">
        <v>1.7000000000000001E-2</v>
      </c>
      <c r="V6" s="1">
        <v>2.0999999999999999E-3</v>
      </c>
      <c r="W6" s="1">
        <v>2.8000000000000002E-7</v>
      </c>
      <c r="AD6" s="2">
        <f t="shared" si="0"/>
        <v>99.654914529914535</v>
      </c>
    </row>
    <row r="7" spans="1:31" x14ac:dyDescent="0.3">
      <c r="A7">
        <v>9</v>
      </c>
      <c r="B7">
        <v>105</v>
      </c>
      <c r="C7" t="s">
        <v>19</v>
      </c>
      <c r="D7">
        <v>650</v>
      </c>
      <c r="E7" s="4">
        <v>13.395</v>
      </c>
      <c r="F7" s="4"/>
      <c r="G7" s="4"/>
      <c r="H7" s="1">
        <v>1.4999999999999999E-15</v>
      </c>
      <c r="I7" s="1">
        <v>6.6E-17</v>
      </c>
      <c r="J7" s="1">
        <v>3.5000000000000002E-17</v>
      </c>
      <c r="K7" s="5">
        <v>0.15772600000000001</v>
      </c>
      <c r="M7" s="5">
        <v>0.10299999999999999</v>
      </c>
      <c r="Q7" s="1">
        <v>4.0000000000000002E-9</v>
      </c>
      <c r="R7" s="1">
        <v>6.6E-10</v>
      </c>
      <c r="S7" s="1">
        <v>8.5999999999999993E-15</v>
      </c>
      <c r="T7" s="6">
        <v>240.22</v>
      </c>
      <c r="AD7" s="2">
        <f t="shared" si="0"/>
        <v>84.925757325995704</v>
      </c>
    </row>
    <row r="8" spans="1:31" x14ac:dyDescent="0.3">
      <c r="A8">
        <v>10</v>
      </c>
      <c r="B8">
        <v>119</v>
      </c>
      <c r="C8" t="s">
        <v>19</v>
      </c>
      <c r="D8">
        <v>812</v>
      </c>
      <c r="E8" s="4">
        <v>18.641999999999999</v>
      </c>
      <c r="F8" s="4">
        <v>12.05</v>
      </c>
      <c r="G8" s="7">
        <v>6.57</v>
      </c>
      <c r="H8" s="1">
        <v>7.6000000000000002E-16</v>
      </c>
      <c r="I8" s="1">
        <v>4.6000000000000002E-17</v>
      </c>
      <c r="J8" s="1">
        <v>5.8999999999999997E-17</v>
      </c>
      <c r="K8" s="5">
        <v>0.25488</v>
      </c>
      <c r="N8" s="7">
        <v>5.849E-2</v>
      </c>
      <c r="P8" s="5">
        <f>G8/N8</f>
        <v>112.326893486066</v>
      </c>
      <c r="Q8" s="1">
        <v>3.6E-9</v>
      </c>
      <c r="R8" s="1">
        <v>6.3E-10</v>
      </c>
      <c r="S8" s="1">
        <v>6.8000000000000001E-15</v>
      </c>
      <c r="T8" s="6">
        <v>1204.8</v>
      </c>
      <c r="X8" t="s">
        <v>5</v>
      </c>
      <c r="AD8" s="2">
        <f t="shared" si="0"/>
        <v>73.140301318267419</v>
      </c>
    </row>
    <row r="9" spans="1:31" x14ac:dyDescent="0.3">
      <c r="E9" s="4"/>
      <c r="F9" s="4"/>
      <c r="G9" s="4"/>
    </row>
    <row r="10" spans="1:31" x14ac:dyDescent="0.3">
      <c r="A10">
        <v>12</v>
      </c>
      <c r="B10">
        <v>147</v>
      </c>
      <c r="C10" t="s">
        <v>20</v>
      </c>
      <c r="D10">
        <v>1190</v>
      </c>
      <c r="E10" s="4">
        <v>36.363999999999997</v>
      </c>
      <c r="F10" s="4"/>
      <c r="G10" s="7">
        <v>12.62</v>
      </c>
      <c r="H10" s="1">
        <v>3.4E-15</v>
      </c>
      <c r="I10" s="1">
        <v>9.8000000000000002E-17</v>
      </c>
      <c r="J10" s="1">
        <v>8.6000000000000005E-17</v>
      </c>
      <c r="K10" s="5">
        <v>0.65869999999999995</v>
      </c>
      <c r="N10" s="7">
        <v>0.14299999999999999</v>
      </c>
      <c r="P10" s="5">
        <f>G10/N10</f>
        <v>88.251748251748253</v>
      </c>
      <c r="Q10" s="1">
        <v>8.0999999999999997E-9</v>
      </c>
      <c r="R10" s="1">
        <v>1.2E-9</v>
      </c>
      <c r="S10" s="1">
        <v>1.4999999999999999E-13</v>
      </c>
      <c r="X10" t="s">
        <v>6</v>
      </c>
      <c r="AD10" s="2">
        <f>E10/K10</f>
        <v>55.205708213147105</v>
      </c>
    </row>
    <row r="11" spans="1:31" x14ac:dyDescent="0.3">
      <c r="E11" s="4"/>
      <c r="F11" s="4"/>
      <c r="G11" s="4"/>
    </row>
    <row r="12" spans="1:31" x14ac:dyDescent="0.3">
      <c r="A12">
        <v>14</v>
      </c>
      <c r="B12">
        <v>175</v>
      </c>
      <c r="C12" t="s">
        <v>20</v>
      </c>
      <c r="D12">
        <v>1640</v>
      </c>
      <c r="E12" s="4">
        <v>62.454999999999998</v>
      </c>
      <c r="F12" s="4"/>
      <c r="G12" s="7">
        <v>22.18</v>
      </c>
      <c r="H12" s="1">
        <v>4.4E-16</v>
      </c>
      <c r="I12" s="1">
        <v>4.0000000000000003E-17</v>
      </c>
      <c r="J12" s="1">
        <v>4.9000000000000001E-17</v>
      </c>
      <c r="K12" s="5">
        <v>1.5642</v>
      </c>
      <c r="N12" s="7">
        <v>0.28599999999999998</v>
      </c>
      <c r="P12" s="5">
        <f>G12/N12</f>
        <v>77.55244755244756</v>
      </c>
      <c r="Q12" s="1">
        <v>9.8999999999999993E-9</v>
      </c>
      <c r="R12" s="1">
        <v>1.0000000000000001E-9</v>
      </c>
      <c r="S12" s="1">
        <v>1.1999999999999999E-13</v>
      </c>
      <c r="X12" t="s">
        <v>7</v>
      </c>
      <c r="AD12" s="2">
        <f>E12/K12</f>
        <v>39.927758598644672</v>
      </c>
    </row>
    <row r="13" spans="1:31" x14ac:dyDescent="0.3">
      <c r="A13">
        <v>15</v>
      </c>
      <c r="B13">
        <v>189</v>
      </c>
      <c r="C13" t="s">
        <v>22</v>
      </c>
      <c r="D13">
        <v>1835</v>
      </c>
      <c r="E13" s="4">
        <v>73.427999999999997</v>
      </c>
      <c r="F13" s="4"/>
      <c r="G13" s="4"/>
    </row>
    <row r="14" spans="1:31" x14ac:dyDescent="0.3">
      <c r="A14">
        <v>16</v>
      </c>
      <c r="B14">
        <v>203</v>
      </c>
      <c r="C14" t="s">
        <v>21</v>
      </c>
      <c r="D14">
        <v>2162</v>
      </c>
      <c r="E14" s="4">
        <v>109.05</v>
      </c>
      <c r="F14" s="4">
        <v>70.3</v>
      </c>
      <c r="G14" s="7">
        <v>37.659999999999997</v>
      </c>
      <c r="H14" s="1">
        <v>6.2999999999999998E-16</v>
      </c>
      <c r="I14" s="1">
        <v>4.0000000000000003E-17</v>
      </c>
      <c r="J14" s="1">
        <v>3.0000000000000001E-17</v>
      </c>
      <c r="K14" s="5">
        <v>3.7884000000000002</v>
      </c>
      <c r="N14" s="7">
        <v>0.77800000000000002</v>
      </c>
      <c r="P14" s="5">
        <f>G14/N14</f>
        <v>48.406169665809763</v>
      </c>
      <c r="Q14" s="1">
        <v>1.8E-9</v>
      </c>
      <c r="R14" s="1">
        <v>2.1999999999999999E-10</v>
      </c>
      <c r="S14" s="1">
        <v>2.0999999999999998E-15</v>
      </c>
      <c r="X14" t="s">
        <v>8</v>
      </c>
      <c r="AD14" s="2">
        <f>E14/K14</f>
        <v>28.785239151092807</v>
      </c>
    </row>
    <row r="15" spans="1:31" x14ac:dyDescent="0.3">
      <c r="E15" s="4"/>
      <c r="F15" s="4"/>
      <c r="G15" s="4"/>
    </row>
    <row r="16" spans="1:31" x14ac:dyDescent="0.3">
      <c r="A16">
        <v>18</v>
      </c>
      <c r="B16">
        <v>231</v>
      </c>
      <c r="D16">
        <v>2756</v>
      </c>
      <c r="E16" s="4">
        <v>167.37</v>
      </c>
      <c r="F16" s="4">
        <v>132.77699999999999</v>
      </c>
      <c r="G16" s="7">
        <v>59.49</v>
      </c>
      <c r="K16" s="5">
        <v>8.1417999999999999</v>
      </c>
      <c r="L16" s="7">
        <v>6.1150000000000002</v>
      </c>
      <c r="M16" s="5">
        <v>4.6399999999999997</v>
      </c>
      <c r="N16" s="7">
        <v>1.4410000000000001</v>
      </c>
      <c r="P16" s="5">
        <f>G16/N16</f>
        <v>41.283830673143648</v>
      </c>
      <c r="AD16" s="2">
        <f>E16/K16</f>
        <v>20.556879314156575</v>
      </c>
    </row>
    <row r="17" spans="1:30" x14ac:dyDescent="0.3">
      <c r="E17" s="4"/>
      <c r="F17" s="4"/>
      <c r="G17" s="4"/>
    </row>
    <row r="18" spans="1:30" x14ac:dyDescent="0.3">
      <c r="A18">
        <v>20</v>
      </c>
      <c r="B18">
        <v>259</v>
      </c>
      <c r="D18">
        <v>3422</v>
      </c>
      <c r="E18" s="4">
        <v>244.86</v>
      </c>
      <c r="F18" s="4">
        <v>198.7</v>
      </c>
      <c r="G18" s="7">
        <v>81.7</v>
      </c>
      <c r="K18" s="5">
        <v>15.597</v>
      </c>
      <c r="L18" s="7">
        <v>11.66</v>
      </c>
      <c r="M18" s="5">
        <v>8.94</v>
      </c>
      <c r="N18" s="7">
        <v>2.9769999999999999</v>
      </c>
      <c r="P18" s="5">
        <f>G18/N18</f>
        <v>27.443735303997315</v>
      </c>
      <c r="AD18" s="2">
        <f>E18/K18</f>
        <v>15.699172917868822</v>
      </c>
    </row>
    <row r="19" spans="1:30" x14ac:dyDescent="0.3">
      <c r="E19" s="4"/>
      <c r="F19" s="4"/>
      <c r="G19" s="4"/>
    </row>
    <row r="20" spans="1:30" x14ac:dyDescent="0.3">
      <c r="A20">
        <v>22</v>
      </c>
      <c r="B20">
        <v>287</v>
      </c>
      <c r="D20">
        <v>4160</v>
      </c>
      <c r="E20" s="4">
        <v>382.46</v>
      </c>
      <c r="F20" s="4"/>
      <c r="G20" s="7">
        <v>124.39</v>
      </c>
      <c r="K20" s="5">
        <v>24.78</v>
      </c>
      <c r="L20" s="7">
        <v>21.648</v>
      </c>
      <c r="M20" s="5">
        <v>9.9700000000000006</v>
      </c>
      <c r="N20" s="7">
        <v>5.4809999999999999</v>
      </c>
      <c r="P20" s="5">
        <f>G20/N20</f>
        <v>22.694763729246489</v>
      </c>
      <c r="AD20" s="2">
        <f>E20/K20</f>
        <v>15.434221146085552</v>
      </c>
    </row>
    <row r="21" spans="1:30" x14ac:dyDescent="0.3">
      <c r="E21" s="4"/>
      <c r="F21" s="4"/>
      <c r="G21" s="4"/>
    </row>
    <row r="22" spans="1:30" x14ac:dyDescent="0.3">
      <c r="A22">
        <v>24</v>
      </c>
      <c r="B22">
        <v>315</v>
      </c>
      <c r="D22">
        <v>4970</v>
      </c>
      <c r="E22" s="4">
        <v>519.46</v>
      </c>
      <c r="F22" s="4"/>
      <c r="G22" s="4"/>
      <c r="K22" s="5">
        <v>40.44</v>
      </c>
      <c r="L22" s="5">
        <v>28.08</v>
      </c>
      <c r="AD22" s="2">
        <f>E22/K22</f>
        <v>12.845202769535115</v>
      </c>
    </row>
    <row r="23" spans="1:30" x14ac:dyDescent="0.3">
      <c r="E23" s="4"/>
      <c r="F23" s="4"/>
      <c r="G23" s="4"/>
    </row>
    <row r="24" spans="1:30" x14ac:dyDescent="0.3">
      <c r="A24">
        <v>26</v>
      </c>
      <c r="B24">
        <v>343</v>
      </c>
      <c r="D24">
        <v>5852</v>
      </c>
      <c r="E24" s="4">
        <v>768.79</v>
      </c>
      <c r="F24" s="4"/>
      <c r="G24" s="4"/>
      <c r="K24" s="5">
        <v>64.594999999999999</v>
      </c>
      <c r="L24" s="5">
        <v>45.95</v>
      </c>
      <c r="M24" s="5">
        <v>24.92</v>
      </c>
      <c r="N24" s="5">
        <v>17.84</v>
      </c>
      <c r="AD24" s="2">
        <f>E24/K24</f>
        <v>11.901695177645328</v>
      </c>
    </row>
    <row r="25" spans="1:30" x14ac:dyDescent="0.3">
      <c r="E25" s="4"/>
      <c r="F25" s="4"/>
      <c r="G25" s="4"/>
    </row>
    <row r="26" spans="1:30" x14ac:dyDescent="0.3">
      <c r="A26">
        <v>28</v>
      </c>
      <c r="B26">
        <v>371</v>
      </c>
      <c r="D26">
        <v>6806</v>
      </c>
      <c r="E26" s="4">
        <v>1081.4000000000001</v>
      </c>
      <c r="F26" s="4"/>
      <c r="G26" s="4">
        <v>679</v>
      </c>
      <c r="K26" s="5">
        <v>97.626999999999995</v>
      </c>
      <c r="L26" s="5">
        <v>64.11</v>
      </c>
      <c r="M26" s="5">
        <v>33.18</v>
      </c>
      <c r="N26" s="5">
        <v>24.75</v>
      </c>
      <c r="AD26" s="2">
        <f>E26/K26</f>
        <v>11.076853739231977</v>
      </c>
    </row>
    <row r="27" spans="1:30" x14ac:dyDescent="0.3">
      <c r="E27" s="4"/>
      <c r="F27" s="4"/>
      <c r="G27" s="4"/>
    </row>
    <row r="28" spans="1:30" x14ac:dyDescent="0.3">
      <c r="A28">
        <v>30</v>
      </c>
      <c r="B28">
        <v>399</v>
      </c>
      <c r="D28">
        <v>7832</v>
      </c>
      <c r="E28" s="4">
        <v>1372.6</v>
      </c>
      <c r="F28" s="4">
        <v>1246.5999999999999</v>
      </c>
      <c r="G28" s="7">
        <v>535.11</v>
      </c>
      <c r="K28" s="5">
        <v>139.9</v>
      </c>
      <c r="L28" s="5">
        <v>97</v>
      </c>
      <c r="M28" s="5">
        <v>53.34</v>
      </c>
      <c r="N28" s="5">
        <v>39.19</v>
      </c>
      <c r="P28" s="5">
        <f>G28/N28</f>
        <v>13.654248532788978</v>
      </c>
      <c r="AD28" s="2">
        <f>E28/K28</f>
        <v>9.8112937812723366</v>
      </c>
    </row>
    <row r="30" spans="1:30" x14ac:dyDescent="0.3">
      <c r="A30">
        <v>35</v>
      </c>
      <c r="B30">
        <v>469</v>
      </c>
      <c r="D30">
        <v>10712</v>
      </c>
      <c r="E30" s="3">
        <v>2899</v>
      </c>
      <c r="G30" s="3">
        <v>2267</v>
      </c>
      <c r="H30" s="1">
        <v>2E-16</v>
      </c>
      <c r="I30" s="1">
        <v>1.8E-17</v>
      </c>
      <c r="J30" s="1">
        <v>3.0999999999999998E-17</v>
      </c>
      <c r="K30" s="5">
        <v>339.95</v>
      </c>
      <c r="L30" s="5">
        <v>235.36</v>
      </c>
      <c r="M30" s="5">
        <v>120.98</v>
      </c>
      <c r="N30" s="7">
        <v>96.65</v>
      </c>
      <c r="O30" s="5" t="s">
        <v>26</v>
      </c>
      <c r="P30" s="5">
        <f>G30/N30</f>
        <v>23.455768235902742</v>
      </c>
      <c r="Q30" s="1">
        <v>1.6000000000000001E-9</v>
      </c>
      <c r="R30" s="1">
        <v>9.2000000000000005E-11</v>
      </c>
      <c r="S30" s="1">
        <v>6.6E-15</v>
      </c>
      <c r="AD30" s="2">
        <f>E30/K30</f>
        <v>8.52772466539197</v>
      </c>
    </row>
    <row r="32" spans="1:30" x14ac:dyDescent="0.3">
      <c r="A32">
        <v>50</v>
      </c>
      <c r="D32">
        <v>22052</v>
      </c>
      <c r="M32" s="5">
        <v>921.11</v>
      </c>
      <c r="N32" s="7">
        <v>825.24</v>
      </c>
      <c r="O32" s="5" t="s">
        <v>27</v>
      </c>
    </row>
    <row r="34" spans="1:4" x14ac:dyDescent="0.3">
      <c r="A34">
        <v>60</v>
      </c>
      <c r="D34">
        <v>31862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ARMA(1,1)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 Plestenjak</dc:creator>
  <cp:lastModifiedBy>Plestenjak, Bor</cp:lastModifiedBy>
  <dcterms:created xsi:type="dcterms:W3CDTF">2015-06-05T18:17:20Z</dcterms:created>
  <dcterms:modified xsi:type="dcterms:W3CDTF">2026-07-09T22:53:19Z</dcterms:modified>
</cp:coreProperties>
</file>