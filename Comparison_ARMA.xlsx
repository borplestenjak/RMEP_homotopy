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ropbox\MEP\RMEP_homotopy\"/>
    </mc:Choice>
  </mc:AlternateContent>
  <xr:revisionPtr revIDLastSave="0" documentId="13_ncr:1_{0EDD9A4F-B719-4B1C-90E9-4480CDBBFB17}" xr6:coauthVersionLast="47" xr6:coauthVersionMax="47" xr10:uidLastSave="{00000000-0000-0000-0000-000000000000}"/>
  <bookViews>
    <workbookView xWindow="1380" yWindow="828" windowWidth="21516" windowHeight="17028" activeTab="1" xr2:uid="{00000000-000D-0000-FFFF-FFFF00000000}"/>
  </bookViews>
  <sheets>
    <sheet name="ARMA(1,1)" sheetId="1" r:id="rId1"/>
    <sheet name="ARMA(2,1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12" i="2"/>
  <c r="P38" i="1"/>
  <c r="P36" i="1"/>
  <c r="P32" i="1"/>
  <c r="K11" i="2"/>
  <c r="K10" i="2"/>
  <c r="K9" i="2"/>
  <c r="K8" i="2"/>
  <c r="K7" i="2"/>
  <c r="K6" i="2"/>
  <c r="K5" i="2"/>
  <c r="K4" i="2"/>
  <c r="K3" i="2"/>
  <c r="P30" i="1"/>
  <c r="P26" i="1"/>
  <c r="P24" i="1"/>
  <c r="P22" i="1"/>
  <c r="P8" i="1"/>
  <c r="P6" i="1"/>
  <c r="P2" i="1"/>
  <c r="P4" i="1"/>
  <c r="P10" i="1"/>
  <c r="P12" i="1"/>
  <c r="P14" i="1"/>
  <c r="P33" i="1"/>
  <c r="P28" i="1"/>
  <c r="P20" i="1"/>
  <c r="P18" i="1"/>
  <c r="P16" i="1"/>
  <c r="AD33" i="1"/>
  <c r="AD7" i="1"/>
  <c r="AD2" i="1"/>
  <c r="AD3" i="1"/>
  <c r="AD4" i="1"/>
  <c r="AD5" i="1"/>
  <c r="AD28" i="1"/>
  <c r="AD26" i="1"/>
  <c r="AD24" i="1"/>
  <c r="AD22" i="1"/>
  <c r="AD20" i="1"/>
  <c r="AD18" i="1"/>
  <c r="AD16" i="1"/>
  <c r="AD14" i="1"/>
  <c r="AD6" i="1"/>
  <c r="AD12" i="1"/>
  <c r="AD8" i="1"/>
  <c r="AD10" i="1"/>
</calcChain>
</file>

<file path=xl/sharedStrings.xml><?xml version="1.0" encoding="utf-8"?>
<sst xmlns="http://schemas.openxmlformats.org/spreadsheetml/2006/main" count="52" uniqueCount="38">
  <si>
    <t>n</t>
  </si>
  <si>
    <t>MultiParEig</t>
  </si>
  <si>
    <t>Macaulay</t>
  </si>
  <si>
    <t>remarks</t>
  </si>
  <si>
    <t>sols</t>
  </si>
  <si>
    <t>Homotopija najde 117, MultiParEig 119 in Macaulay 97 rešitev</t>
  </si>
  <si>
    <t>Homotopija najde 145 rešitev,  pri nekaterih so ralziker</t>
  </si>
  <si>
    <t>Pri nekaterih večkratniuh ničlahj so razlike</t>
  </si>
  <si>
    <t>Homotopija dobi nekaj večkrat</t>
  </si>
  <si>
    <t>homotopy*</t>
  </si>
  <si>
    <t>* pomenijo druge nastavitve</t>
  </si>
  <si>
    <t>PATHS</t>
  </si>
  <si>
    <t>homo/Multipar</t>
  </si>
  <si>
    <t>runs</t>
  </si>
  <si>
    <t>(10,10,10)</t>
  </si>
  <si>
    <t>max(res)</t>
  </si>
  <si>
    <t>avg(res)</t>
  </si>
  <si>
    <t>optres</t>
  </si>
  <si>
    <t>(5,5,5)</t>
  </si>
  <si>
    <t>(5,5,1)</t>
  </si>
  <si>
    <t>(3,3,0)</t>
  </si>
  <si>
    <t>(1,1,0)</t>
  </si>
  <si>
    <t>(1,0,0)</t>
  </si>
  <si>
    <t>New times</t>
  </si>
  <si>
    <t>PeakMem</t>
  </si>
  <si>
    <t>NewNew</t>
  </si>
  <si>
    <t>898MB</t>
  </si>
  <si>
    <t>3,8GB</t>
  </si>
  <si>
    <t>homotopy new</t>
  </si>
  <si>
    <t>Sparse</t>
  </si>
  <si>
    <t>Razmerje</t>
  </si>
  <si>
    <t>homotopy</t>
  </si>
  <si>
    <t>paths</t>
  </si>
  <si>
    <t>run1</t>
  </si>
  <si>
    <t>run2</t>
  </si>
  <si>
    <t>run3</t>
  </si>
  <si>
    <t>homotopy (last)</t>
  </si>
  <si>
    <t>razmerje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</si>
</sst>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1" fontId="0" fillId="0" borderId="0" xfId="0" applyNumberFormat="1"/>
    <xf numFmtId="165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0" fontId="0" fillId="6" borderId="0" xfId="0" applyFill="1"/>
    <xf numFmtId="43" fontId="0" fillId="0" borderId="0" xfId="1" applyFont="1"/>
    <xf numFmtId="0" fontId="2" fillId="0" borderId="0" xfId="0" applyFont="1"/>
    <xf numFmtId="43" fontId="2" fillId="0" borderId="0" xfId="1" applyFont="1"/>
    <xf numFmtId="0" fontId="0" fillId="5" borderId="0" xfId="0" applyFill="1"/>
    <xf numFmtId="43" fontId="0" fillId="5" borderId="0" xfId="1" applyFont="1" applyFill="1"/>
    <xf numFmtId="0" fontId="0" fillId="0" borderId="0" xfId="0" applyFont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2"/>
  <sheetViews>
    <sheetView topLeftCell="E1" workbookViewId="0">
      <selection activeCell="T4" sqref="T4"/>
    </sheetView>
  </sheetViews>
  <sheetFormatPr defaultRowHeight="14.4" x14ac:dyDescent="0.3"/>
  <cols>
    <col min="1" max="1" width="7.33203125" customWidth="1"/>
    <col min="2" max="2" width="9.109375" customWidth="1"/>
    <col min="3" max="3" width="11.5546875" customWidth="1"/>
    <col min="4" max="4" width="7.33203125" customWidth="1"/>
    <col min="5" max="5" width="10.44140625" style="3" bestFit="1" customWidth="1"/>
    <col min="6" max="6" width="14.88671875" style="3" bestFit="1" customWidth="1"/>
    <col min="7" max="7" width="14.6640625" style="3" bestFit="1" customWidth="1"/>
    <col min="8" max="9" width="8.88671875" style="1"/>
    <col min="10" max="10" width="9.109375" style="1" bestFit="1" customWidth="1"/>
    <col min="11" max="14" width="11.6640625" style="5" customWidth="1"/>
    <col min="15" max="15" width="12.33203125" style="5" bestFit="1" customWidth="1"/>
    <col min="16" max="16" width="12.33203125" style="5" customWidth="1"/>
    <col min="17" max="19" width="11.6640625" style="1" customWidth="1"/>
    <col min="20" max="20" width="13" style="6" customWidth="1"/>
    <col min="21" max="23" width="13" style="1" customWidth="1"/>
    <col min="30" max="30" width="9.33203125" style="2" bestFit="1" customWidth="1"/>
  </cols>
  <sheetData>
    <row r="1" spans="1:31" x14ac:dyDescent="0.3">
      <c r="A1" t="s">
        <v>0</v>
      </c>
      <c r="B1" t="s">
        <v>4</v>
      </c>
      <c r="C1" t="s">
        <v>13</v>
      </c>
      <c r="D1" t="s">
        <v>11</v>
      </c>
      <c r="E1" s="3" t="s">
        <v>9</v>
      </c>
      <c r="F1" s="3" t="s">
        <v>28</v>
      </c>
      <c r="G1" s="3" t="s">
        <v>36</v>
      </c>
      <c r="H1" s="1" t="s">
        <v>15</v>
      </c>
      <c r="I1" s="1" t="s">
        <v>16</v>
      </c>
      <c r="J1" s="1" t="s">
        <v>17</v>
      </c>
      <c r="K1" s="5" t="s">
        <v>1</v>
      </c>
      <c r="L1" s="5" t="s">
        <v>23</v>
      </c>
      <c r="M1" s="5" t="s">
        <v>25</v>
      </c>
      <c r="N1" s="5" t="s">
        <v>29</v>
      </c>
      <c r="O1" s="5" t="s">
        <v>24</v>
      </c>
      <c r="P1" s="5" t="s">
        <v>30</v>
      </c>
      <c r="Q1" s="1" t="s">
        <v>15</v>
      </c>
      <c r="R1" s="1" t="s">
        <v>16</v>
      </c>
      <c r="S1" s="1" t="s">
        <v>17</v>
      </c>
      <c r="T1" s="6" t="s">
        <v>2</v>
      </c>
      <c r="U1" s="1" t="s">
        <v>15</v>
      </c>
      <c r="V1" s="1" t="s">
        <v>16</v>
      </c>
      <c r="W1" s="1" t="s">
        <v>17</v>
      </c>
      <c r="X1" t="s">
        <v>3</v>
      </c>
      <c r="AD1" s="2" t="s">
        <v>12</v>
      </c>
      <c r="AE1" t="s">
        <v>10</v>
      </c>
    </row>
    <row r="2" spans="1:31" x14ac:dyDescent="0.3">
      <c r="A2">
        <v>4</v>
      </c>
      <c r="B2">
        <v>35</v>
      </c>
      <c r="C2" t="s">
        <v>14</v>
      </c>
      <c r="D2">
        <v>110</v>
      </c>
      <c r="E2" s="4">
        <v>1.0988</v>
      </c>
      <c r="F2" s="4"/>
      <c r="G2" s="8">
        <v>0.7389</v>
      </c>
      <c r="K2" s="5">
        <v>7.8178999999999992E-3</v>
      </c>
      <c r="N2" s="8">
        <v>5.6540000000000002E-3</v>
      </c>
      <c r="P2" s="5">
        <f>G2/N2</f>
        <v>130.68623983020871</v>
      </c>
      <c r="T2" s="6">
        <v>0.40899999999999997</v>
      </c>
      <c r="AD2" s="2">
        <f t="shared" ref="AD2:AD8" si="0">E2/K2</f>
        <v>140.54925235677101</v>
      </c>
    </row>
    <row r="3" spans="1:31" x14ac:dyDescent="0.3">
      <c r="A3">
        <v>5</v>
      </c>
      <c r="B3">
        <v>49</v>
      </c>
      <c r="C3" t="s">
        <v>14</v>
      </c>
      <c r="D3">
        <v>182</v>
      </c>
      <c r="E3" s="4">
        <v>1.8861000000000001</v>
      </c>
      <c r="F3" s="4"/>
      <c r="G3" s="4"/>
      <c r="K3" s="5">
        <v>1.3233E-2</v>
      </c>
      <c r="T3" s="6">
        <v>2.2189000000000001</v>
      </c>
      <c r="AD3" s="2">
        <f t="shared" si="0"/>
        <v>142.53003854001361</v>
      </c>
    </row>
    <row r="4" spans="1:31" x14ac:dyDescent="0.3">
      <c r="A4">
        <v>6</v>
      </c>
      <c r="B4">
        <v>63</v>
      </c>
      <c r="C4" t="s">
        <v>14</v>
      </c>
      <c r="D4">
        <v>272</v>
      </c>
      <c r="E4" s="4">
        <v>3.5832999999999999</v>
      </c>
      <c r="F4" s="4"/>
      <c r="G4" s="8">
        <v>1.3524</v>
      </c>
      <c r="H4" s="1">
        <v>1.3E-14</v>
      </c>
      <c r="I4" s="1">
        <v>3.5999999999999998E-16</v>
      </c>
      <c r="J4" s="1">
        <v>6.4000000000000005E-17</v>
      </c>
      <c r="K4" s="5">
        <v>2.5798999999999999E-2</v>
      </c>
      <c r="N4" s="8">
        <v>1.36288E-2</v>
      </c>
      <c r="P4" s="5">
        <f>G4/N4</f>
        <v>99.231040150270019</v>
      </c>
      <c r="Q4" s="1">
        <v>3.3000000000000002E-9</v>
      </c>
      <c r="R4" s="1">
        <v>6.6999999999999996E-10</v>
      </c>
      <c r="S4" s="1">
        <v>5.7999999999999996E-16</v>
      </c>
      <c r="T4" s="6">
        <v>7.5732999999999997</v>
      </c>
      <c r="U4" s="1">
        <v>1.2E-2</v>
      </c>
      <c r="V4" s="1">
        <v>1.8E-3</v>
      </c>
      <c r="W4" s="1">
        <v>6.5000000000000003E-9</v>
      </c>
      <c r="AD4" s="2">
        <f t="shared" si="0"/>
        <v>138.8929803480755</v>
      </c>
    </row>
    <row r="5" spans="1:31" x14ac:dyDescent="0.3">
      <c r="A5">
        <v>7</v>
      </c>
      <c r="B5">
        <v>77</v>
      </c>
      <c r="C5" t="s">
        <v>18</v>
      </c>
      <c r="D5">
        <v>380</v>
      </c>
      <c r="E5" s="4">
        <v>5.54</v>
      </c>
      <c r="F5" s="4"/>
      <c r="G5" s="4"/>
      <c r="H5" s="1">
        <v>3.5999999999999998E-16</v>
      </c>
      <c r="I5" s="1">
        <v>4.1000000000000001E-17</v>
      </c>
      <c r="J5" s="1">
        <v>4.4E-17</v>
      </c>
      <c r="K5" s="5">
        <v>5.3487699999999999E-2</v>
      </c>
      <c r="Q5" s="1">
        <v>3.3000000000000002E-9</v>
      </c>
      <c r="R5" s="1">
        <v>7.7499999999999999E-9</v>
      </c>
      <c r="S5" s="1">
        <v>2.1999999999999999E-15</v>
      </c>
      <c r="T5" s="6">
        <v>42.113700000000001</v>
      </c>
      <c r="U5" s="1">
        <v>1.9E-2</v>
      </c>
      <c r="V5" s="1">
        <v>2.5000000000000001E-3</v>
      </c>
      <c r="W5" s="1">
        <v>9.9999999999999995E-7</v>
      </c>
      <c r="AD5" s="2">
        <f t="shared" si="0"/>
        <v>103.57521448856467</v>
      </c>
    </row>
    <row r="6" spans="1:31" x14ac:dyDescent="0.3">
      <c r="A6">
        <v>8</v>
      </c>
      <c r="B6">
        <v>91</v>
      </c>
      <c r="C6" t="s">
        <v>18</v>
      </c>
      <c r="D6">
        <v>506</v>
      </c>
      <c r="E6" s="4">
        <v>9.3277000000000001</v>
      </c>
      <c r="F6" s="4">
        <v>6.84</v>
      </c>
      <c r="G6" s="8">
        <v>2.9954499999999999</v>
      </c>
      <c r="H6" s="1">
        <v>5.1999999999999997E-16</v>
      </c>
      <c r="I6" s="1">
        <v>4.6000000000000002E-17</v>
      </c>
      <c r="J6" s="1">
        <v>4.7E-17</v>
      </c>
      <c r="K6" s="5">
        <v>9.3600000000000003E-2</v>
      </c>
      <c r="N6" s="8">
        <v>3.0044999999999999E-2</v>
      </c>
      <c r="P6" s="5">
        <f>G6/N6</f>
        <v>99.698785155599936</v>
      </c>
      <c r="Q6" s="1">
        <v>2.6000000000000001E-9</v>
      </c>
      <c r="R6" s="1">
        <v>4.8E-10</v>
      </c>
      <c r="S6" s="1">
        <v>1.4000000000000001E-15</v>
      </c>
      <c r="T6" s="6">
        <v>98.501999999999995</v>
      </c>
      <c r="U6" s="1">
        <v>1.7000000000000001E-2</v>
      </c>
      <c r="V6" s="1">
        <v>2.0999999999999999E-3</v>
      </c>
      <c r="W6" s="1">
        <v>2.8000000000000002E-7</v>
      </c>
      <c r="AD6" s="2">
        <f t="shared" si="0"/>
        <v>99.654914529914535</v>
      </c>
    </row>
    <row r="7" spans="1:31" x14ac:dyDescent="0.3">
      <c r="A7">
        <v>9</v>
      </c>
      <c r="B7">
        <v>105</v>
      </c>
      <c r="C7" t="s">
        <v>19</v>
      </c>
      <c r="D7">
        <v>650</v>
      </c>
      <c r="E7" s="4">
        <v>13.395</v>
      </c>
      <c r="F7" s="4"/>
      <c r="G7" s="4"/>
      <c r="H7" s="1">
        <v>1.4999999999999999E-15</v>
      </c>
      <c r="I7" s="1">
        <v>6.6E-17</v>
      </c>
      <c r="J7" s="1">
        <v>3.5000000000000002E-17</v>
      </c>
      <c r="K7" s="5">
        <v>0.15772600000000001</v>
      </c>
      <c r="M7" s="5">
        <v>0.10299999999999999</v>
      </c>
      <c r="Q7" s="1">
        <v>4.0000000000000002E-9</v>
      </c>
      <c r="R7" s="1">
        <v>6.6E-10</v>
      </c>
      <c r="S7" s="1">
        <v>8.5999999999999993E-15</v>
      </c>
      <c r="T7" s="6">
        <v>240.22</v>
      </c>
      <c r="AD7" s="2">
        <f t="shared" si="0"/>
        <v>84.925757325995704</v>
      </c>
    </row>
    <row r="8" spans="1:31" x14ac:dyDescent="0.3">
      <c r="A8">
        <v>10</v>
      </c>
      <c r="B8">
        <v>119</v>
      </c>
      <c r="C8" t="s">
        <v>19</v>
      </c>
      <c r="D8">
        <v>812</v>
      </c>
      <c r="E8" s="4">
        <v>18.641999999999999</v>
      </c>
      <c r="F8" s="4">
        <v>12.05</v>
      </c>
      <c r="G8" s="8">
        <v>6.3002000000000002</v>
      </c>
      <c r="H8" s="1">
        <v>7.6000000000000002E-16</v>
      </c>
      <c r="I8" s="1">
        <v>4.6000000000000002E-17</v>
      </c>
      <c r="J8" s="1">
        <v>5.8999999999999997E-17</v>
      </c>
      <c r="K8" s="5">
        <v>0.25488</v>
      </c>
      <c r="N8" s="8">
        <v>6.2210000000000001E-2</v>
      </c>
      <c r="P8" s="5">
        <f>G8/N8</f>
        <v>101.27310721748916</v>
      </c>
      <c r="Q8" s="1">
        <v>3.6E-9</v>
      </c>
      <c r="R8" s="1">
        <v>6.3E-10</v>
      </c>
      <c r="S8" s="1">
        <v>6.8000000000000001E-15</v>
      </c>
      <c r="T8" s="6">
        <v>1204.8</v>
      </c>
      <c r="X8" t="s">
        <v>5</v>
      </c>
      <c r="AD8" s="2">
        <f t="shared" si="0"/>
        <v>73.140301318267419</v>
      </c>
    </row>
    <row r="9" spans="1:31" x14ac:dyDescent="0.3">
      <c r="E9" s="4"/>
      <c r="F9" s="4"/>
      <c r="G9" s="4"/>
    </row>
    <row r="10" spans="1:31" x14ac:dyDescent="0.3">
      <c r="A10">
        <v>12</v>
      </c>
      <c r="B10">
        <v>147</v>
      </c>
      <c r="C10" t="s">
        <v>20</v>
      </c>
      <c r="D10">
        <v>1190</v>
      </c>
      <c r="E10" s="4">
        <v>36.363999999999997</v>
      </c>
      <c r="F10" s="4"/>
      <c r="G10" s="8">
        <v>11.462</v>
      </c>
      <c r="H10" s="1">
        <v>3.4E-15</v>
      </c>
      <c r="I10" s="1">
        <v>9.8000000000000002E-17</v>
      </c>
      <c r="J10" s="1">
        <v>8.6000000000000005E-17</v>
      </c>
      <c r="K10" s="5">
        <v>0.65869999999999995</v>
      </c>
      <c r="N10" s="8">
        <v>0.15228</v>
      </c>
      <c r="P10" s="5">
        <f>G10/N10</f>
        <v>75.269240872077745</v>
      </c>
      <c r="Q10" s="1">
        <v>8.0999999999999997E-9</v>
      </c>
      <c r="R10" s="1">
        <v>1.2E-9</v>
      </c>
      <c r="S10" s="1">
        <v>1.4999999999999999E-13</v>
      </c>
      <c r="X10" t="s">
        <v>6</v>
      </c>
      <c r="AD10" s="2">
        <f>E10/K10</f>
        <v>55.205708213147105</v>
      </c>
    </row>
    <row r="11" spans="1:31" x14ac:dyDescent="0.3">
      <c r="E11" s="4"/>
      <c r="F11" s="4"/>
      <c r="G11" s="4"/>
    </row>
    <row r="12" spans="1:31" x14ac:dyDescent="0.3">
      <c r="A12">
        <v>14</v>
      </c>
      <c r="B12">
        <v>175</v>
      </c>
      <c r="C12" t="s">
        <v>20</v>
      </c>
      <c r="D12">
        <v>1640</v>
      </c>
      <c r="E12" s="4">
        <v>62.454999999999998</v>
      </c>
      <c r="F12" s="4"/>
      <c r="G12" s="8">
        <v>21.009</v>
      </c>
      <c r="H12" s="1">
        <v>4.4E-16</v>
      </c>
      <c r="I12" s="1">
        <v>4.0000000000000003E-17</v>
      </c>
      <c r="J12" s="1">
        <v>4.9000000000000001E-17</v>
      </c>
      <c r="K12" s="5">
        <v>1.5642</v>
      </c>
      <c r="N12" s="8">
        <v>0.27450000000000002</v>
      </c>
      <c r="P12" s="5">
        <f>G12/N12</f>
        <v>76.535519125683052</v>
      </c>
      <c r="Q12" s="1">
        <v>9.8999999999999993E-9</v>
      </c>
      <c r="R12" s="1">
        <v>1.0000000000000001E-9</v>
      </c>
      <c r="S12" s="1">
        <v>1.1999999999999999E-13</v>
      </c>
      <c r="X12" t="s">
        <v>7</v>
      </c>
      <c r="AD12" s="2">
        <f>E12/K12</f>
        <v>39.927758598644672</v>
      </c>
    </row>
    <row r="13" spans="1:31" x14ac:dyDescent="0.3">
      <c r="A13">
        <v>15</v>
      </c>
      <c r="B13">
        <v>189</v>
      </c>
      <c r="C13" t="s">
        <v>22</v>
      </c>
      <c r="D13">
        <v>1835</v>
      </c>
      <c r="E13" s="4">
        <v>73.427999999999997</v>
      </c>
      <c r="F13" s="4"/>
      <c r="G13" s="4"/>
    </row>
    <row r="14" spans="1:31" x14ac:dyDescent="0.3">
      <c r="A14">
        <v>16</v>
      </c>
      <c r="B14">
        <v>203</v>
      </c>
      <c r="C14" t="s">
        <v>21</v>
      </c>
      <c r="D14">
        <v>2162</v>
      </c>
      <c r="E14" s="4">
        <v>109.05</v>
      </c>
      <c r="F14" s="4">
        <v>70.3</v>
      </c>
      <c r="G14" s="8">
        <v>35.284999999999997</v>
      </c>
      <c r="H14" s="1">
        <v>6.2999999999999998E-16</v>
      </c>
      <c r="I14" s="1">
        <v>4.0000000000000003E-17</v>
      </c>
      <c r="J14" s="1">
        <v>3.0000000000000001E-17</v>
      </c>
      <c r="K14" s="5">
        <v>3.7884000000000002</v>
      </c>
      <c r="N14" s="8">
        <v>0.71489999999999998</v>
      </c>
      <c r="P14" s="5">
        <f>G14/N14</f>
        <v>49.356553364106865</v>
      </c>
      <c r="Q14" s="1">
        <v>1.8E-9</v>
      </c>
      <c r="R14" s="1">
        <v>2.1999999999999999E-10</v>
      </c>
      <c r="S14" s="1">
        <v>2.0999999999999998E-15</v>
      </c>
      <c r="X14" t="s">
        <v>8</v>
      </c>
      <c r="AD14" s="2">
        <f>E14/K14</f>
        <v>28.785239151092807</v>
      </c>
    </row>
    <row r="15" spans="1:31" x14ac:dyDescent="0.3">
      <c r="E15" s="4"/>
      <c r="F15" s="4"/>
      <c r="G15" s="4"/>
    </row>
    <row r="16" spans="1:31" x14ac:dyDescent="0.3">
      <c r="A16">
        <v>18</v>
      </c>
      <c r="B16">
        <v>231</v>
      </c>
      <c r="D16">
        <v>2756</v>
      </c>
      <c r="E16" s="4">
        <v>167.37</v>
      </c>
      <c r="F16" s="4">
        <v>132.77699999999999</v>
      </c>
      <c r="G16" s="8">
        <v>55.04</v>
      </c>
      <c r="K16" s="5">
        <v>8.1417999999999999</v>
      </c>
      <c r="L16" s="7">
        <v>6.1150000000000002</v>
      </c>
      <c r="M16" s="5">
        <v>4.6399999999999997</v>
      </c>
      <c r="N16" s="8">
        <v>1.48</v>
      </c>
      <c r="P16" s="5">
        <f>G16/N16</f>
        <v>37.189189189189186</v>
      </c>
      <c r="AD16" s="2">
        <f>E16/K16</f>
        <v>20.556879314156575</v>
      </c>
    </row>
    <row r="17" spans="1:30" x14ac:dyDescent="0.3">
      <c r="E17" s="4"/>
      <c r="F17" s="4"/>
      <c r="G17" s="4"/>
    </row>
    <row r="18" spans="1:30" x14ac:dyDescent="0.3">
      <c r="A18">
        <v>20</v>
      </c>
      <c r="B18">
        <v>259</v>
      </c>
      <c r="D18">
        <v>3422</v>
      </c>
      <c r="E18" s="4">
        <v>244.86</v>
      </c>
      <c r="F18" s="4">
        <v>198.7</v>
      </c>
      <c r="G18" s="8">
        <v>72.686000000000007</v>
      </c>
      <c r="K18" s="5">
        <v>15.597</v>
      </c>
      <c r="L18" s="7">
        <v>11.66</v>
      </c>
      <c r="M18" s="5">
        <v>8.94</v>
      </c>
      <c r="N18" s="8">
        <v>2.89</v>
      </c>
      <c r="P18" s="5">
        <f>G18/N18</f>
        <v>25.150865051903114</v>
      </c>
      <c r="AD18" s="2">
        <f>E18/K18</f>
        <v>15.699172917868822</v>
      </c>
    </row>
    <row r="19" spans="1:30" x14ac:dyDescent="0.3">
      <c r="E19" s="4"/>
      <c r="F19" s="4"/>
      <c r="G19" s="4"/>
    </row>
    <row r="20" spans="1:30" x14ac:dyDescent="0.3">
      <c r="A20">
        <v>22</v>
      </c>
      <c r="B20">
        <v>287</v>
      </c>
      <c r="D20">
        <v>4160</v>
      </c>
      <c r="E20" s="4">
        <v>382.46</v>
      </c>
      <c r="F20" s="4"/>
      <c r="G20" s="8">
        <v>108.015</v>
      </c>
      <c r="K20" s="5">
        <v>24.78</v>
      </c>
      <c r="L20" s="7">
        <v>21.648</v>
      </c>
      <c r="M20" s="5">
        <v>9.9700000000000006</v>
      </c>
      <c r="N20" s="8">
        <v>5.4</v>
      </c>
      <c r="P20" s="5">
        <f>G20/N20</f>
        <v>20.002777777777776</v>
      </c>
      <c r="AD20" s="2">
        <f>E20/K20</f>
        <v>15.434221146085552</v>
      </c>
    </row>
    <row r="21" spans="1:30" x14ac:dyDescent="0.3">
      <c r="E21" s="4"/>
      <c r="F21" s="4"/>
      <c r="G21" s="4"/>
    </row>
    <row r="22" spans="1:30" x14ac:dyDescent="0.3">
      <c r="A22">
        <v>24</v>
      </c>
      <c r="B22">
        <v>315</v>
      </c>
      <c r="D22">
        <v>4970</v>
      </c>
      <c r="E22" s="4">
        <v>519.46</v>
      </c>
      <c r="F22" s="4"/>
      <c r="G22" s="8">
        <v>149.54560000000001</v>
      </c>
      <c r="K22" s="5">
        <v>40.44</v>
      </c>
      <c r="L22" s="5">
        <v>28.08</v>
      </c>
      <c r="N22" s="8">
        <v>9.14</v>
      </c>
      <c r="P22" s="5">
        <f>G22/N22</f>
        <v>16.361663019693655</v>
      </c>
      <c r="AD22" s="2">
        <f>E22/K22</f>
        <v>12.845202769535115</v>
      </c>
    </row>
    <row r="23" spans="1:30" x14ac:dyDescent="0.3">
      <c r="E23" s="4"/>
      <c r="F23" s="4"/>
      <c r="G23" s="4"/>
    </row>
    <row r="24" spans="1:30" x14ac:dyDescent="0.3">
      <c r="A24">
        <v>26</v>
      </c>
      <c r="B24">
        <v>343</v>
      </c>
      <c r="D24">
        <v>5852</v>
      </c>
      <c r="E24" s="4">
        <v>768.79</v>
      </c>
      <c r="F24" s="4"/>
      <c r="G24" s="8">
        <v>205.61699999999999</v>
      </c>
      <c r="K24" s="5">
        <v>64.594999999999999</v>
      </c>
      <c r="L24" s="5">
        <v>45.95</v>
      </c>
      <c r="M24" s="5">
        <v>24.92</v>
      </c>
      <c r="N24" s="8">
        <v>15.134</v>
      </c>
      <c r="P24" s="5">
        <f>G24/N24</f>
        <v>13.586427910664728</v>
      </c>
      <c r="AD24" s="2">
        <f>E24/K24</f>
        <v>11.901695177645328</v>
      </c>
    </row>
    <row r="25" spans="1:30" x14ac:dyDescent="0.3">
      <c r="E25" s="4"/>
      <c r="F25" s="4"/>
      <c r="G25" s="4"/>
    </row>
    <row r="26" spans="1:30" x14ac:dyDescent="0.3">
      <c r="A26">
        <v>28</v>
      </c>
      <c r="B26">
        <v>371</v>
      </c>
      <c r="D26">
        <v>6806</v>
      </c>
      <c r="E26" s="4">
        <v>1081.4000000000001</v>
      </c>
      <c r="F26" s="4"/>
      <c r="G26" s="8">
        <v>276.83359999999999</v>
      </c>
      <c r="K26" s="5">
        <v>97.626999999999995</v>
      </c>
      <c r="L26" s="5">
        <v>64.11</v>
      </c>
      <c r="M26" s="5">
        <v>33.18</v>
      </c>
      <c r="N26" s="8">
        <v>24.049199999999999</v>
      </c>
      <c r="P26" s="5">
        <f>G26/N26</f>
        <v>11.511135505546962</v>
      </c>
      <c r="AD26" s="2">
        <f>E26/K26</f>
        <v>11.076853739231977</v>
      </c>
    </row>
    <row r="27" spans="1:30" x14ac:dyDescent="0.3">
      <c r="E27" s="4"/>
      <c r="F27" s="4"/>
      <c r="G27" s="4"/>
    </row>
    <row r="28" spans="1:30" x14ac:dyDescent="0.3">
      <c r="A28">
        <v>30</v>
      </c>
      <c r="B28">
        <v>399</v>
      </c>
      <c r="D28">
        <v>7832</v>
      </c>
      <c r="E28" s="4">
        <v>1372.6</v>
      </c>
      <c r="F28" s="4">
        <v>1246.5999999999999</v>
      </c>
      <c r="G28" s="8">
        <v>367.87900000000002</v>
      </c>
      <c r="K28" s="5">
        <v>139.9</v>
      </c>
      <c r="L28" s="5">
        <v>97</v>
      </c>
      <c r="M28" s="5">
        <v>53.34</v>
      </c>
      <c r="N28" s="8">
        <v>37.215000000000003</v>
      </c>
      <c r="P28" s="5">
        <f>G28/N28</f>
        <v>9.8852344484750763</v>
      </c>
      <c r="AD28" s="2">
        <f>E28/K28</f>
        <v>9.8112937812723366</v>
      </c>
    </row>
    <row r="30" spans="1:30" x14ac:dyDescent="0.3">
      <c r="A30">
        <v>32</v>
      </c>
      <c r="B30">
        <v>427</v>
      </c>
      <c r="D30">
        <v>8918</v>
      </c>
      <c r="G30" s="9">
        <v>569.78859999999997</v>
      </c>
      <c r="N30" s="8">
        <v>53.883000000000003</v>
      </c>
      <c r="P30" s="5">
        <f>G30/N30</f>
        <v>10.574552270660504</v>
      </c>
    </row>
    <row r="32" spans="1:30" x14ac:dyDescent="0.3">
      <c r="A32">
        <v>34</v>
      </c>
      <c r="B32">
        <v>455</v>
      </c>
      <c r="D32">
        <v>10100</v>
      </c>
      <c r="G32" s="9">
        <v>776.55830000000003</v>
      </c>
      <c r="N32" s="8">
        <v>78.072999999999993</v>
      </c>
      <c r="P32" s="5">
        <f>G32/N32</f>
        <v>9.9465666747787331</v>
      </c>
    </row>
    <row r="33" spans="1:30" x14ac:dyDescent="0.3">
      <c r="A33">
        <v>35</v>
      </c>
      <c r="B33">
        <v>469</v>
      </c>
      <c r="D33">
        <v>10712</v>
      </c>
      <c r="E33" s="3">
        <v>2899</v>
      </c>
      <c r="G33" s="3">
        <v>2267</v>
      </c>
      <c r="H33" s="1">
        <v>2E-16</v>
      </c>
      <c r="I33" s="1">
        <v>1.8E-17</v>
      </c>
      <c r="J33" s="1">
        <v>3.0999999999999998E-17</v>
      </c>
      <c r="K33" s="5">
        <v>339.95</v>
      </c>
      <c r="L33" s="5">
        <v>235.36</v>
      </c>
      <c r="M33" s="5">
        <v>120.98</v>
      </c>
      <c r="N33" s="7">
        <v>96.65</v>
      </c>
      <c r="O33" s="5" t="s">
        <v>26</v>
      </c>
      <c r="P33" s="5">
        <f>G33/N33</f>
        <v>23.455768235902742</v>
      </c>
      <c r="Q33" s="1">
        <v>1.6000000000000001E-9</v>
      </c>
      <c r="R33" s="1">
        <v>9.2000000000000005E-11</v>
      </c>
      <c r="S33" s="1">
        <v>6.6E-15</v>
      </c>
      <c r="AD33" s="2">
        <f>E33/K33</f>
        <v>8.52772466539197</v>
      </c>
    </row>
    <row r="36" spans="1:30" x14ac:dyDescent="0.3">
      <c r="A36">
        <v>40</v>
      </c>
      <c r="B36">
        <v>539</v>
      </c>
      <c r="D36">
        <v>14042</v>
      </c>
      <c r="G36" s="9">
        <v>2429.2469999999998</v>
      </c>
      <c r="N36" s="8">
        <v>209.85579999999999</v>
      </c>
      <c r="P36" s="5">
        <f>G36/N36</f>
        <v>11.575791567352439</v>
      </c>
    </row>
    <row r="38" spans="1:30" x14ac:dyDescent="0.3">
      <c r="A38">
        <v>45</v>
      </c>
      <c r="B38">
        <v>609</v>
      </c>
      <c r="D38">
        <v>17822</v>
      </c>
      <c r="G38" s="9">
        <v>4890.5200000000004</v>
      </c>
      <c r="N38" s="8">
        <v>427.77</v>
      </c>
      <c r="P38" s="5">
        <f>G38/N38</f>
        <v>11.432592280898616</v>
      </c>
    </row>
    <row r="40" spans="1:30" x14ac:dyDescent="0.3">
      <c r="A40">
        <v>50</v>
      </c>
      <c r="D40">
        <v>22052</v>
      </c>
      <c r="M40" s="5">
        <v>921.11</v>
      </c>
      <c r="N40" s="7">
        <v>825.24</v>
      </c>
      <c r="O40" s="5" t="s">
        <v>27</v>
      </c>
    </row>
    <row r="42" spans="1:30" x14ac:dyDescent="0.3">
      <c r="A42">
        <v>60</v>
      </c>
      <c r="D42">
        <v>31862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2A20-BB7E-44BE-B5FD-2A26A68D3982}">
  <dimension ref="A1:K12"/>
  <sheetViews>
    <sheetView tabSelected="1" workbookViewId="0">
      <selection activeCell="M20" sqref="M20"/>
    </sheetView>
  </sheetViews>
  <sheetFormatPr defaultColWidth="9.109375" defaultRowHeight="14.4" x14ac:dyDescent="0.3"/>
  <cols>
    <col min="1" max="1" width="4" bestFit="1" customWidth="1"/>
    <col min="2" max="2" width="4.109375" bestFit="1" customWidth="1"/>
    <col min="3" max="5" width="4.6640625" bestFit="1" customWidth="1"/>
    <col min="6" max="6" width="6" bestFit="1" customWidth="1"/>
    <col min="7" max="7" width="10.77734375" style="10" bestFit="1" customWidth="1"/>
    <col min="8" max="8" width="11.5546875" style="10" bestFit="1" customWidth="1"/>
    <col min="9" max="9" width="8.88671875" bestFit="1" customWidth="1"/>
    <col min="11" max="11" width="9.44140625" style="10" bestFit="1" customWidth="1"/>
  </cols>
  <sheetData>
    <row r="1" spans="1:11" x14ac:dyDescent="0.3">
      <c r="A1" s="11" t="s">
        <v>0</v>
      </c>
      <c r="B1" s="11" t="s">
        <v>4</v>
      </c>
      <c r="C1" s="11" t="s">
        <v>33</v>
      </c>
      <c r="D1" s="11" t="s">
        <v>34</v>
      </c>
      <c r="E1" s="11" t="s">
        <v>35</v>
      </c>
      <c r="F1" s="11" t="s">
        <v>32</v>
      </c>
      <c r="G1" s="12" t="s">
        <v>31</v>
      </c>
      <c r="H1" s="12" t="s">
        <v>1</v>
      </c>
      <c r="I1" s="11"/>
      <c r="J1" s="11"/>
      <c r="K1" s="12" t="s">
        <v>37</v>
      </c>
    </row>
    <row r="2" spans="1:11" s="15" customFormat="1" x14ac:dyDescent="0.3">
      <c r="A2" s="15">
        <v>5</v>
      </c>
      <c r="B2" s="15">
        <v>13</v>
      </c>
      <c r="C2" s="15">
        <v>3</v>
      </c>
      <c r="D2" s="15">
        <v>3</v>
      </c>
      <c r="E2" s="15">
        <v>0</v>
      </c>
      <c r="F2" s="15">
        <v>910</v>
      </c>
      <c r="G2" s="16">
        <v>5.1694000000000004</v>
      </c>
      <c r="H2" s="16">
        <v>0.10299999999999999</v>
      </c>
      <c r="K2" s="10">
        <f t="shared" ref="K2:K12" si="0">G2/H2</f>
        <v>50.188349514563114</v>
      </c>
    </row>
    <row r="3" spans="1:11" x14ac:dyDescent="0.3">
      <c r="A3">
        <v>6</v>
      </c>
      <c r="B3">
        <v>21</v>
      </c>
      <c r="C3">
        <v>3</v>
      </c>
      <c r="D3">
        <v>3</v>
      </c>
      <c r="E3">
        <v>0</v>
      </c>
      <c r="F3">
        <v>1938</v>
      </c>
      <c r="G3" s="10">
        <v>12.374000000000001</v>
      </c>
      <c r="H3" s="10">
        <v>0.43109999999999998</v>
      </c>
      <c r="K3" s="10">
        <f t="shared" si="0"/>
        <v>28.703317095801442</v>
      </c>
    </row>
    <row r="4" spans="1:11" x14ac:dyDescent="0.3">
      <c r="A4">
        <v>7</v>
      </c>
      <c r="B4">
        <v>29</v>
      </c>
      <c r="C4">
        <v>3</v>
      </c>
      <c r="D4">
        <v>3</v>
      </c>
      <c r="E4">
        <v>0</v>
      </c>
      <c r="F4">
        <v>3542</v>
      </c>
      <c r="G4" s="10">
        <v>25.800999999999998</v>
      </c>
      <c r="H4" s="10">
        <v>1.5449999999999999</v>
      </c>
      <c r="K4" s="10">
        <f t="shared" si="0"/>
        <v>16.699676375404529</v>
      </c>
    </row>
    <row r="5" spans="1:11" x14ac:dyDescent="0.3">
      <c r="A5">
        <v>8</v>
      </c>
      <c r="B5">
        <v>47</v>
      </c>
      <c r="C5">
        <v>3</v>
      </c>
      <c r="D5">
        <v>3</v>
      </c>
      <c r="E5">
        <v>0</v>
      </c>
      <c r="F5">
        <v>5850</v>
      </c>
      <c r="G5" s="10">
        <v>50.484000000000002</v>
      </c>
      <c r="H5" s="10">
        <v>5.9688999999999997</v>
      </c>
      <c r="K5" s="10">
        <f t="shared" si="0"/>
        <v>8.4578398029787749</v>
      </c>
    </row>
    <row r="6" spans="1:11" x14ac:dyDescent="0.3">
      <c r="A6">
        <v>9</v>
      </c>
      <c r="B6">
        <v>45</v>
      </c>
      <c r="C6">
        <v>1</v>
      </c>
      <c r="D6">
        <v>1</v>
      </c>
      <c r="E6">
        <v>0</v>
      </c>
      <c r="F6">
        <v>8990</v>
      </c>
      <c r="G6" s="10">
        <v>90.779499999999999</v>
      </c>
      <c r="H6" s="10">
        <v>18.725999999999999</v>
      </c>
      <c r="K6" s="10">
        <f t="shared" si="0"/>
        <v>4.8477784898002776</v>
      </c>
    </row>
    <row r="7" spans="1:11" x14ac:dyDescent="0.3">
      <c r="A7">
        <v>10</v>
      </c>
      <c r="B7">
        <v>53</v>
      </c>
      <c r="C7">
        <v>1</v>
      </c>
      <c r="D7">
        <v>1</v>
      </c>
      <c r="E7">
        <v>0</v>
      </c>
      <c r="F7">
        <v>13090</v>
      </c>
      <c r="G7" s="10">
        <v>161.54480000000001</v>
      </c>
      <c r="H7" s="10">
        <v>46.996000000000002</v>
      </c>
      <c r="K7" s="10">
        <f t="shared" si="0"/>
        <v>3.4374159502936421</v>
      </c>
    </row>
    <row r="8" spans="1:11" x14ac:dyDescent="0.3">
      <c r="A8">
        <v>11</v>
      </c>
      <c r="B8">
        <v>61</v>
      </c>
      <c r="C8">
        <v>1</v>
      </c>
      <c r="D8">
        <v>1</v>
      </c>
      <c r="E8">
        <v>0</v>
      </c>
      <c r="F8">
        <v>18278</v>
      </c>
      <c r="G8" s="10">
        <v>263.76499999999999</v>
      </c>
      <c r="H8" s="10">
        <v>112.616</v>
      </c>
      <c r="K8" s="10">
        <f t="shared" si="0"/>
        <v>2.3421627477445477</v>
      </c>
    </row>
    <row r="9" spans="1:11" x14ac:dyDescent="0.3">
      <c r="A9">
        <v>12</v>
      </c>
      <c r="B9">
        <v>69</v>
      </c>
      <c r="C9">
        <v>1</v>
      </c>
      <c r="D9">
        <v>1</v>
      </c>
      <c r="E9">
        <v>0</v>
      </c>
      <c r="F9">
        <v>24862</v>
      </c>
      <c r="G9" s="10">
        <v>411.40300000000002</v>
      </c>
      <c r="H9" s="10">
        <v>235.92099999999999</v>
      </c>
      <c r="K9" s="10">
        <f t="shared" si="0"/>
        <v>1.7438167861275597</v>
      </c>
    </row>
    <row r="10" spans="1:11" x14ac:dyDescent="0.3">
      <c r="A10">
        <v>13</v>
      </c>
      <c r="B10">
        <v>77</v>
      </c>
      <c r="C10">
        <v>1</v>
      </c>
      <c r="D10">
        <v>1</v>
      </c>
      <c r="E10">
        <v>0</v>
      </c>
      <c r="F10">
        <v>32430</v>
      </c>
      <c r="G10" s="10">
        <v>634.18359999999996</v>
      </c>
      <c r="H10" s="10">
        <v>473.54399999999998</v>
      </c>
      <c r="K10" s="10">
        <f t="shared" si="0"/>
        <v>1.3392284560674403</v>
      </c>
    </row>
    <row r="11" spans="1:11" x14ac:dyDescent="0.3">
      <c r="A11">
        <v>14</v>
      </c>
      <c r="B11">
        <v>85</v>
      </c>
      <c r="C11">
        <v>1</v>
      </c>
      <c r="D11">
        <v>1</v>
      </c>
      <c r="E11">
        <v>0</v>
      </c>
      <c r="F11">
        <v>41650</v>
      </c>
      <c r="G11" s="10">
        <v>1136.5899999999999</v>
      </c>
      <c r="H11" s="10">
        <v>986.88</v>
      </c>
      <c r="K11" s="10">
        <f t="shared" si="0"/>
        <v>1.1517003080415045</v>
      </c>
    </row>
    <row r="12" spans="1:11" x14ac:dyDescent="0.3">
      <c r="A12">
        <v>15</v>
      </c>
      <c r="B12" s="13">
        <v>93</v>
      </c>
      <c r="C12" s="13">
        <v>1</v>
      </c>
      <c r="D12" s="13">
        <v>1</v>
      </c>
      <c r="E12" s="13">
        <v>0</v>
      </c>
      <c r="F12" s="13">
        <v>52470</v>
      </c>
      <c r="G12" s="14">
        <v>1451.06</v>
      </c>
      <c r="H12" s="14">
        <v>1762.43</v>
      </c>
      <c r="I12" s="13"/>
      <c r="J12" s="13"/>
      <c r="K12" s="14">
        <f t="shared" si="0"/>
        <v>0.82332915349829494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ARMA(1,1)</vt:lpstr>
      <vt:lpstr>ARMA(2,1)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 Plestenjak</dc:creator>
  <cp:lastModifiedBy>Plestenjak, Bor</cp:lastModifiedBy>
  <dcterms:created xsi:type="dcterms:W3CDTF">2015-06-05T18:17:20Z</dcterms:created>
  <dcterms:modified xsi:type="dcterms:W3CDTF">2026-07-19T22:52:53Z</dcterms:modified>
</cp:coreProperties>
</file>